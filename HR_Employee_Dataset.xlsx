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ramte\OneDrive\Desktop\HR &amp; Employee Data\"/>
    </mc:Choice>
  </mc:AlternateContent>
  <xr:revisionPtr revIDLastSave="0" documentId="13_ncr:1_{3AE0EF5E-B359-4B61-9EC6-0055E8EF4FCD}" xr6:coauthVersionLast="47" xr6:coauthVersionMax="47" xr10:uidLastSave="{00000000-0000-0000-0000-000000000000}"/>
  <bookViews>
    <workbookView xWindow="-108" yWindow="-108" windowWidth="23256" windowHeight="12456" tabRatio="681" activeTab="4" xr2:uid="{00000000-000D-0000-FFFF-FFFF00000000}"/>
  </bookViews>
  <sheets>
    <sheet name="RAW_DATA" sheetId="1" r:id="rId1"/>
    <sheet name="DATA_DICTIONARY" sheetId="2" r:id="rId2"/>
    <sheet name="WORKING_DATA" sheetId="3" r:id="rId3"/>
    <sheet name="HR_SUMMARY" sheetId="5" r:id="rId4"/>
    <sheet name="PIVOT_TABLES" sheetId="6" r:id="rId5"/>
    <sheet name="CHARTS" sheetId="7" r:id="rId6"/>
    <sheet name="HR_DASHBOARD" sheetId="8" r:id="rId7"/>
  </sheets>
  <definedNames>
    <definedName name="_xlnm._FilterDatabase" localSheetId="0" hidden="1">RAW_DATA!$A$1:$T$1</definedName>
    <definedName name="_xlnm._FilterDatabase" localSheetId="2" hidden="1">WORKING_DATA!$X$1:$X$323</definedName>
    <definedName name="Active_Employees">HR_SUMMARY!$B$3</definedName>
    <definedName name="Attrition_Rate">HR_SUMMARY!$B$5</definedName>
    <definedName name="Slicer_Department">#N/A</definedName>
    <definedName name="Slicer_Gender">#N/A</definedName>
    <definedName name="Slicer_Location">#N/A</definedName>
    <definedName name="Total_Employees">HR_SUMMARY!$B$2</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7" i="8" l="1" a="1"/>
  <c r="L7" i="8" s="1"/>
  <c r="G7" i="8" a="1"/>
  <c r="G7" i="8" s="1"/>
  <c r="B7" i="8" a="1"/>
  <c r="B7" i="8" s="1"/>
  <c r="AA7" i="8"/>
  <c r="Q7" i="8"/>
  <c r="K3" i="5"/>
  <c r="K2" i="5"/>
  <c r="J3" i="5"/>
  <c r="J2" i="5"/>
  <c r="G3" i="5"/>
  <c r="G4" i="5"/>
  <c r="G5" i="5"/>
  <c r="G6" i="5"/>
  <c r="G7" i="5"/>
  <c r="G2" i="5"/>
  <c r="F3" i="5"/>
  <c r="F4" i="5"/>
  <c r="F5" i="5"/>
  <c r="F6" i="5"/>
  <c r="F7" i="5"/>
  <c r="F2" i="5"/>
  <c r="E3" i="5"/>
  <c r="E4" i="5"/>
  <c r="E5" i="5"/>
  <c r="E6" i="5"/>
  <c r="E7" i="5"/>
  <c r="E2" i="5"/>
  <c r="B8" i="5"/>
  <c r="B6" i="5"/>
  <c r="B5" i="5"/>
  <c r="B4" i="5"/>
  <c r="B3" i="5"/>
  <c r="B2" i="5"/>
  <c r="AD3" i="3" a="1"/>
  <c r="AD3" i="3" s="1"/>
  <c r="AD4" i="3" a="1"/>
  <c r="AD4" i="3"/>
  <c r="AD5" i="3" a="1"/>
  <c r="AD5" i="3"/>
  <c r="AD6" i="3" a="1"/>
  <c r="AD6" i="3"/>
  <c r="AD7" i="3" a="1"/>
  <c r="AD7" i="3"/>
  <c r="AD8" i="3" a="1"/>
  <c r="AD8" i="3"/>
  <c r="AD9" i="3" a="1"/>
  <c r="AD9" i="3" s="1"/>
  <c r="AD10" i="3" a="1"/>
  <c r="AD10" i="3"/>
  <c r="AD11" i="3" a="1"/>
  <c r="AD11" i="3"/>
  <c r="AD12" i="3" a="1"/>
  <c r="AD12" i="3"/>
  <c r="AD13" i="3" a="1"/>
  <c r="AD13" i="3"/>
  <c r="AD14" i="3" a="1"/>
  <c r="AD14" i="3"/>
  <c r="AD15" i="3" a="1"/>
  <c r="AD15" i="3" s="1"/>
  <c r="AD16" i="3" a="1"/>
  <c r="AD16" i="3"/>
  <c r="AD17" i="3" a="1"/>
  <c r="AD17" i="3"/>
  <c r="AD18" i="3" a="1"/>
  <c r="AD18" i="3"/>
  <c r="AD19" i="3" a="1"/>
  <c r="AD19" i="3"/>
  <c r="AD20" i="3" a="1"/>
  <c r="AD20" i="3"/>
  <c r="AD21" i="3" a="1"/>
  <c r="AD21" i="3" s="1"/>
  <c r="AD22" i="3" a="1"/>
  <c r="AD22" i="3"/>
  <c r="AD23" i="3" a="1"/>
  <c r="AD23" i="3"/>
  <c r="AD24" i="3" a="1"/>
  <c r="AD24" i="3"/>
  <c r="AD25" i="3" a="1"/>
  <c r="AD25" i="3"/>
  <c r="AD26" i="3" a="1"/>
  <c r="AD26" i="3"/>
  <c r="AD27" i="3" a="1"/>
  <c r="AD27" i="3" s="1"/>
  <c r="AD28" i="3" a="1"/>
  <c r="AD28" i="3"/>
  <c r="AD29" i="3" a="1"/>
  <c r="AD29" i="3"/>
  <c r="AD30" i="3" a="1"/>
  <c r="AD30" i="3"/>
  <c r="AD31" i="3" a="1"/>
  <c r="AD31" i="3"/>
  <c r="AD32" i="3" a="1"/>
  <c r="AD32" i="3"/>
  <c r="AD33" i="3" a="1"/>
  <c r="AD33" i="3" s="1"/>
  <c r="AD34" i="3" a="1"/>
  <c r="AD34" i="3"/>
  <c r="AD35" i="3" a="1"/>
  <c r="AD35" i="3"/>
  <c r="AD36" i="3" a="1"/>
  <c r="AD36" i="3"/>
  <c r="AD37" i="3" a="1"/>
  <c r="AD37" i="3"/>
  <c r="AD38" i="3" a="1"/>
  <c r="AD38" i="3"/>
  <c r="AD39" i="3" a="1"/>
  <c r="AD39" i="3" s="1"/>
  <c r="AD40" i="3" a="1"/>
  <c r="AD40" i="3"/>
  <c r="AD41" i="3" a="1"/>
  <c r="AD41" i="3"/>
  <c r="AD42" i="3" a="1"/>
  <c r="AD42" i="3"/>
  <c r="AD43" i="3" a="1"/>
  <c r="AD43" i="3"/>
  <c r="AD44" i="3" a="1"/>
  <c r="AD44" i="3"/>
  <c r="AD45" i="3" a="1"/>
  <c r="AD45" i="3" s="1"/>
  <c r="AD46" i="3" a="1"/>
  <c r="AD46" i="3"/>
  <c r="AD47" i="3" a="1"/>
  <c r="AD47" i="3"/>
  <c r="AD48" i="3" a="1"/>
  <c r="AD48" i="3"/>
  <c r="AD49" i="3" a="1"/>
  <c r="AD49" i="3"/>
  <c r="AD50" i="3" a="1"/>
  <c r="AD50" i="3"/>
  <c r="AD51" i="3" a="1"/>
  <c r="AD51" i="3" s="1"/>
  <c r="AD52" i="3" a="1"/>
  <c r="AD52" i="3"/>
  <c r="AD53" i="3" a="1"/>
  <c r="AD53" i="3"/>
  <c r="AD54" i="3" a="1"/>
  <c r="AD54" i="3"/>
  <c r="AD55" i="3" a="1"/>
  <c r="AD55" i="3"/>
  <c r="AD56" i="3" a="1"/>
  <c r="AD56" i="3"/>
  <c r="AD57" i="3" a="1"/>
  <c r="AD57" i="3" s="1"/>
  <c r="AD58" i="3" a="1"/>
  <c r="AD58" i="3"/>
  <c r="AD59" i="3" a="1"/>
  <c r="AD59" i="3"/>
  <c r="AD60" i="3" a="1"/>
  <c r="AD60" i="3"/>
  <c r="AD61" i="3" a="1"/>
  <c r="AD61" i="3"/>
  <c r="AD62" i="3" a="1"/>
  <c r="AD62" i="3"/>
  <c r="AD63" i="3" a="1"/>
  <c r="AD63" i="3" s="1"/>
  <c r="AD64" i="3" a="1"/>
  <c r="AD64" i="3"/>
  <c r="AD65" i="3" a="1"/>
  <c r="AD65" i="3"/>
  <c r="AD66" i="3" a="1"/>
  <c r="AD66" i="3"/>
  <c r="AD67" i="3" a="1"/>
  <c r="AD67" i="3"/>
  <c r="AD68" i="3" a="1"/>
  <c r="AD68" i="3"/>
  <c r="AD69" i="3" a="1"/>
  <c r="AD69" i="3" s="1"/>
  <c r="AD70" i="3" a="1"/>
  <c r="AD70" i="3"/>
  <c r="AD71" i="3" a="1"/>
  <c r="AD71" i="3"/>
  <c r="AD72" i="3" a="1"/>
  <c r="AD72" i="3"/>
  <c r="AD73" i="3" a="1"/>
  <c r="AD73" i="3"/>
  <c r="AD74" i="3" a="1"/>
  <c r="AD74" i="3"/>
  <c r="AD75" i="3" a="1"/>
  <c r="AD75" i="3" s="1"/>
  <c r="AD76" i="3" a="1"/>
  <c r="AD76" i="3"/>
  <c r="AD77" i="3" a="1"/>
  <c r="AD77" i="3"/>
  <c r="AD78" i="3" a="1"/>
  <c r="AD78" i="3"/>
  <c r="AD79" i="3" a="1"/>
  <c r="AD79" i="3"/>
  <c r="AD80" i="3" a="1"/>
  <c r="AD80" i="3"/>
  <c r="AD81" i="3" a="1"/>
  <c r="AD81" i="3" s="1"/>
  <c r="AD82" i="3" a="1"/>
  <c r="AD82" i="3"/>
  <c r="AD83" i="3" a="1"/>
  <c r="AD83" i="3"/>
  <c r="AD84" i="3" a="1"/>
  <c r="AD84" i="3"/>
  <c r="AD85" i="3" a="1"/>
  <c r="AD85" i="3"/>
  <c r="AD86" i="3" a="1"/>
  <c r="AD86" i="3"/>
  <c r="AD87" i="3" a="1"/>
  <c r="AD87" i="3" s="1"/>
  <c r="AD88" i="3" a="1"/>
  <c r="AD88" i="3"/>
  <c r="AD89" i="3" a="1"/>
  <c r="AD89" i="3"/>
  <c r="AD90" i="3" a="1"/>
  <c r="AD90" i="3"/>
  <c r="AD91" i="3" a="1"/>
  <c r="AD91" i="3"/>
  <c r="AD92" i="3" a="1"/>
  <c r="AD92" i="3"/>
  <c r="AD93" i="3" a="1"/>
  <c r="AD93" i="3" s="1"/>
  <c r="AD94" i="3" a="1"/>
  <c r="AD94" i="3"/>
  <c r="AD95" i="3" a="1"/>
  <c r="AD95" i="3"/>
  <c r="AD96" i="3" a="1"/>
  <c r="AD96" i="3"/>
  <c r="AD97" i="3" a="1"/>
  <c r="AD97" i="3"/>
  <c r="AD98" i="3" a="1"/>
  <c r="AD98" i="3"/>
  <c r="AD99" i="3" a="1"/>
  <c r="AD99" i="3" s="1"/>
  <c r="AD100" i="3" a="1"/>
  <c r="AD100" i="3"/>
  <c r="AD101" i="3" a="1"/>
  <c r="AD101" i="3"/>
  <c r="AD102" i="3" a="1"/>
  <c r="AD102" i="3"/>
  <c r="AD103" i="3" a="1"/>
  <c r="AD103" i="3"/>
  <c r="AD104" i="3" a="1"/>
  <c r="AD104" i="3"/>
  <c r="AD105" i="3" a="1"/>
  <c r="AD105" i="3" s="1"/>
  <c r="AD106" i="3" a="1"/>
  <c r="AD106" i="3"/>
  <c r="AD107" i="3" a="1"/>
  <c r="AD107" i="3"/>
  <c r="AD108" i="3" a="1"/>
  <c r="AD108" i="3"/>
  <c r="AD109" i="3" a="1"/>
  <c r="AD109" i="3"/>
  <c r="AD110" i="3" a="1"/>
  <c r="AD110" i="3"/>
  <c r="AD111" i="3" a="1"/>
  <c r="AD111" i="3" s="1"/>
  <c r="AD112" i="3" a="1"/>
  <c r="AD112" i="3"/>
  <c r="AD113" i="3" a="1"/>
  <c r="AD113" i="3"/>
  <c r="AD114" i="3" a="1"/>
  <c r="AD114" i="3"/>
  <c r="AD115" i="3" a="1"/>
  <c r="AD115" i="3"/>
  <c r="AD116" i="3" a="1"/>
  <c r="AD116" i="3"/>
  <c r="AD117" i="3" a="1"/>
  <c r="AD117" i="3" s="1"/>
  <c r="AD118" i="3" a="1"/>
  <c r="AD118" i="3"/>
  <c r="AD119" i="3" a="1"/>
  <c r="AD119" i="3"/>
  <c r="AD120" i="3" a="1"/>
  <c r="AD120" i="3"/>
  <c r="AD121" i="3" a="1"/>
  <c r="AD121" i="3"/>
  <c r="AD122" i="3" a="1"/>
  <c r="AD122" i="3"/>
  <c r="AD123" i="3" a="1"/>
  <c r="AD123" i="3" s="1"/>
  <c r="AD124" i="3" a="1"/>
  <c r="AD124" i="3"/>
  <c r="AD125" i="3" a="1"/>
  <c r="AD125" i="3"/>
  <c r="AD126" i="3" a="1"/>
  <c r="AD126" i="3"/>
  <c r="AD127" i="3" a="1"/>
  <c r="AD127" i="3"/>
  <c r="AD128" i="3" a="1"/>
  <c r="AD128" i="3"/>
  <c r="AD129" i="3" a="1"/>
  <c r="AD129" i="3" s="1"/>
  <c r="AD130" i="3" a="1"/>
  <c r="AD130" i="3"/>
  <c r="AD131" i="3" a="1"/>
  <c r="AD131" i="3"/>
  <c r="AD132" i="3" a="1"/>
  <c r="AD132" i="3"/>
  <c r="AD133" i="3" a="1"/>
  <c r="AD133" i="3"/>
  <c r="AD134" i="3" a="1"/>
  <c r="AD134" i="3"/>
  <c r="AD135" i="3" a="1"/>
  <c r="AD135" i="3" s="1"/>
  <c r="AD136" i="3" a="1"/>
  <c r="AD136" i="3"/>
  <c r="AD137" i="3" a="1"/>
  <c r="AD137" i="3"/>
  <c r="AD138" i="3" a="1"/>
  <c r="AD138" i="3"/>
  <c r="AD139" i="3" a="1"/>
  <c r="AD139" i="3"/>
  <c r="AD140" i="3" a="1"/>
  <c r="AD140" i="3"/>
  <c r="AD141" i="3" a="1"/>
  <c r="AD141" i="3" s="1"/>
  <c r="AD142" i="3" a="1"/>
  <c r="AD142" i="3"/>
  <c r="AD143" i="3" a="1"/>
  <c r="AD143" i="3"/>
  <c r="AD144" i="3" a="1"/>
  <c r="AD144" i="3"/>
  <c r="AD145" i="3" a="1"/>
  <c r="AD145" i="3"/>
  <c r="AD146" i="3" a="1"/>
  <c r="AD146" i="3"/>
  <c r="AD147" i="3" a="1"/>
  <c r="AD147" i="3" s="1"/>
  <c r="AD148" i="3" a="1"/>
  <c r="AD148" i="3"/>
  <c r="AD149" i="3" a="1"/>
  <c r="AD149" i="3"/>
  <c r="AD150" i="3" a="1"/>
  <c r="AD150" i="3"/>
  <c r="AD151" i="3" a="1"/>
  <c r="AD151" i="3"/>
  <c r="AD152" i="3" a="1"/>
  <c r="AD152" i="3"/>
  <c r="AD153" i="3" a="1"/>
  <c r="AD153" i="3" s="1"/>
  <c r="AD154" i="3" a="1"/>
  <c r="AD154" i="3"/>
  <c r="AD155" i="3" a="1"/>
  <c r="AD155" i="3"/>
  <c r="AD156" i="3" a="1"/>
  <c r="AD156" i="3"/>
  <c r="AD157" i="3" a="1"/>
  <c r="AD157" i="3"/>
  <c r="AD158" i="3" a="1"/>
  <c r="AD158" i="3"/>
  <c r="AD159" i="3" a="1"/>
  <c r="AD159" i="3" s="1"/>
  <c r="AD160" i="3" a="1"/>
  <c r="AD160" i="3"/>
  <c r="AD161" i="3" a="1"/>
  <c r="AD161" i="3"/>
  <c r="AD162" i="3" a="1"/>
  <c r="AD162" i="3"/>
  <c r="AD163" i="3" a="1"/>
  <c r="AD163" i="3"/>
  <c r="AD164" i="3" a="1"/>
  <c r="AD164" i="3"/>
  <c r="AD165" i="3" a="1"/>
  <c r="AD165" i="3" s="1"/>
  <c r="AD166" i="3" a="1"/>
  <c r="AD166" i="3"/>
  <c r="AD167" i="3" a="1"/>
  <c r="AD167" i="3"/>
  <c r="AD168" i="3" a="1"/>
  <c r="AD168" i="3"/>
  <c r="AD169" i="3" a="1"/>
  <c r="AD169" i="3"/>
  <c r="AD170" i="3" a="1"/>
  <c r="AD170" i="3"/>
  <c r="AD171" i="3" a="1"/>
  <c r="AD171" i="3" s="1"/>
  <c r="AD172" i="3" a="1"/>
  <c r="AD172" i="3"/>
  <c r="AD173" i="3" a="1"/>
  <c r="AD173" i="3"/>
  <c r="AD174" i="3" a="1"/>
  <c r="AD174" i="3"/>
  <c r="AD175" i="3" a="1"/>
  <c r="AD175" i="3"/>
  <c r="AD176" i="3" a="1"/>
  <c r="AD176" i="3"/>
  <c r="AD177" i="3" a="1"/>
  <c r="AD177" i="3" s="1"/>
  <c r="AD178" i="3" a="1"/>
  <c r="AD178" i="3"/>
  <c r="AD179" i="3" a="1"/>
  <c r="AD179" i="3"/>
  <c r="AD180" i="3" a="1"/>
  <c r="AD180" i="3"/>
  <c r="AD181" i="3" a="1"/>
  <c r="AD181" i="3"/>
  <c r="AD182" i="3" a="1"/>
  <c r="AD182" i="3"/>
  <c r="AD183" i="3" a="1"/>
  <c r="AD183" i="3" s="1"/>
  <c r="AD184" i="3" a="1"/>
  <c r="AD184" i="3"/>
  <c r="AD185" i="3" a="1"/>
  <c r="AD185" i="3"/>
  <c r="AD186" i="3" a="1"/>
  <c r="AD186" i="3"/>
  <c r="AD187" i="3" a="1"/>
  <c r="AD187" i="3"/>
  <c r="AD188" i="3" a="1"/>
  <c r="AD188" i="3"/>
  <c r="AD189" i="3" a="1"/>
  <c r="AD189" i="3" s="1"/>
  <c r="AD190" i="3" a="1"/>
  <c r="AD190" i="3"/>
  <c r="AD191" i="3" a="1"/>
  <c r="AD191" i="3"/>
  <c r="AD192" i="3" a="1"/>
  <c r="AD192" i="3"/>
  <c r="AD193" i="3" a="1"/>
  <c r="AD193" i="3"/>
  <c r="AD194" i="3" a="1"/>
  <c r="AD194" i="3"/>
  <c r="AD195" i="3" a="1"/>
  <c r="AD195" i="3" s="1"/>
  <c r="AD196" i="3" a="1"/>
  <c r="AD196" i="3"/>
  <c r="AD197" i="3" a="1"/>
  <c r="AD197" i="3"/>
  <c r="AD198" i="3" a="1"/>
  <c r="AD198" i="3"/>
  <c r="AD199" i="3" a="1"/>
  <c r="AD199" i="3"/>
  <c r="AD200" i="3" a="1"/>
  <c r="AD200" i="3"/>
  <c r="AD201" i="3" a="1"/>
  <c r="AD201" i="3" s="1"/>
  <c r="AD202" i="3" a="1"/>
  <c r="AD202" i="3"/>
  <c r="AD203" i="3" a="1"/>
  <c r="AD203" i="3"/>
  <c r="AD204" i="3" a="1"/>
  <c r="AD204" i="3"/>
  <c r="AD205" i="3" a="1"/>
  <c r="AD205" i="3"/>
  <c r="AD206" i="3" a="1"/>
  <c r="AD206" i="3"/>
  <c r="AD207" i="3" a="1"/>
  <c r="AD207" i="3" s="1"/>
  <c r="AD208" i="3" a="1"/>
  <c r="AD208" i="3"/>
  <c r="AD209" i="3" a="1"/>
  <c r="AD209" i="3"/>
  <c r="AD210" i="3" a="1"/>
  <c r="AD210" i="3"/>
  <c r="AD211" i="3" a="1"/>
  <c r="AD211" i="3"/>
  <c r="AD212" i="3" a="1"/>
  <c r="AD212" i="3"/>
  <c r="AD213" i="3" a="1"/>
  <c r="AD213" i="3" s="1"/>
  <c r="AD214" i="3" a="1"/>
  <c r="AD214" i="3"/>
  <c r="AD215" i="3" a="1"/>
  <c r="AD215" i="3"/>
  <c r="AD216" i="3" a="1"/>
  <c r="AD216" i="3"/>
  <c r="AD217" i="3" a="1"/>
  <c r="AD217" i="3"/>
  <c r="AD218" i="3" a="1"/>
  <c r="AD218" i="3"/>
  <c r="AD219" i="3" a="1"/>
  <c r="AD219" i="3" s="1"/>
  <c r="AD220" i="3" a="1"/>
  <c r="AD220" i="3"/>
  <c r="AD221" i="3" a="1"/>
  <c r="AD221" i="3"/>
  <c r="AD222" i="3" a="1"/>
  <c r="AD222" i="3"/>
  <c r="AD223" i="3" a="1"/>
  <c r="AD223" i="3"/>
  <c r="AD224" i="3" a="1"/>
  <c r="AD224" i="3"/>
  <c r="AD225" i="3" a="1"/>
  <c r="AD225" i="3" s="1"/>
  <c r="AD226" i="3" a="1"/>
  <c r="AD226" i="3"/>
  <c r="AD227" i="3" a="1"/>
  <c r="AD227" i="3"/>
  <c r="AD228" i="3" a="1"/>
  <c r="AD228" i="3"/>
  <c r="AD229" i="3" a="1"/>
  <c r="AD229" i="3"/>
  <c r="AD230" i="3" a="1"/>
  <c r="AD230" i="3"/>
  <c r="AD231" i="3" a="1"/>
  <c r="AD231" i="3" s="1"/>
  <c r="AD232" i="3" a="1"/>
  <c r="AD232" i="3"/>
  <c r="AD233" i="3" a="1"/>
  <c r="AD233" i="3"/>
  <c r="AD234" i="3" a="1"/>
  <c r="AD234" i="3"/>
  <c r="AD235" i="3" a="1"/>
  <c r="AD235" i="3"/>
  <c r="AD236" i="3" a="1"/>
  <c r="AD236" i="3"/>
  <c r="AD237" i="3" a="1"/>
  <c r="AD237" i="3" s="1"/>
  <c r="AD238" i="3" a="1"/>
  <c r="AD238" i="3"/>
  <c r="AD239" i="3" a="1"/>
  <c r="AD239" i="3"/>
  <c r="AD240" i="3" a="1"/>
  <c r="AD240" i="3"/>
  <c r="AD241" i="3" a="1"/>
  <c r="AD241" i="3"/>
  <c r="AD242" i="3" a="1"/>
  <c r="AD242" i="3"/>
  <c r="AD243" i="3" a="1"/>
  <c r="AD243" i="3" s="1"/>
  <c r="AD244" i="3" a="1"/>
  <c r="AD244" i="3"/>
  <c r="AD245" i="3" a="1"/>
  <c r="AD245" i="3"/>
  <c r="AD246" i="3" a="1"/>
  <c r="AD246" i="3"/>
  <c r="AD247" i="3" a="1"/>
  <c r="AD247" i="3"/>
  <c r="AD248" i="3" a="1"/>
  <c r="AD248" i="3"/>
  <c r="AD249" i="3" a="1"/>
  <c r="AD249" i="3" s="1"/>
  <c r="AD250" i="3" a="1"/>
  <c r="AD250" i="3"/>
  <c r="AD251" i="3" a="1"/>
  <c r="AD251" i="3"/>
  <c r="AD252" i="3" a="1"/>
  <c r="AD252" i="3"/>
  <c r="AD253" i="3" a="1"/>
  <c r="AD253" i="3"/>
  <c r="AD254" i="3" a="1"/>
  <c r="AD254" i="3"/>
  <c r="AD255" i="3" a="1"/>
  <c r="AD255" i="3" s="1"/>
  <c r="AD256" i="3" a="1"/>
  <c r="AD256" i="3"/>
  <c r="AD257" i="3" a="1"/>
  <c r="AD257" i="3"/>
  <c r="AD258" i="3" a="1"/>
  <c r="AD258" i="3"/>
  <c r="AD259" i="3" a="1"/>
  <c r="AD259" i="3"/>
  <c r="AD260" i="3" a="1"/>
  <c r="AD260" i="3"/>
  <c r="AD261" i="3" a="1"/>
  <c r="AD261" i="3" s="1"/>
  <c r="AD262" i="3" a="1"/>
  <c r="AD262" i="3"/>
  <c r="AD263" i="3" a="1"/>
  <c r="AD263" i="3"/>
  <c r="AD264" i="3" a="1"/>
  <c r="AD264" i="3"/>
  <c r="AD265" i="3" a="1"/>
  <c r="AD265" i="3"/>
  <c r="AD266" i="3" a="1"/>
  <c r="AD266" i="3"/>
  <c r="AD267" i="3" a="1"/>
  <c r="AD267" i="3" s="1"/>
  <c r="AD268" i="3" a="1"/>
  <c r="AD268" i="3"/>
  <c r="AD269" i="3" a="1"/>
  <c r="AD269" i="3"/>
  <c r="AD270" i="3" a="1"/>
  <c r="AD270" i="3"/>
  <c r="AD271" i="3" a="1"/>
  <c r="AD271" i="3"/>
  <c r="AD272" i="3" a="1"/>
  <c r="AD272" i="3"/>
  <c r="AD273" i="3" a="1"/>
  <c r="AD273" i="3" s="1"/>
  <c r="AD274" i="3" a="1"/>
  <c r="AD274" i="3"/>
  <c r="AD275" i="3" a="1"/>
  <c r="AD275" i="3"/>
  <c r="AD276" i="3" a="1"/>
  <c r="AD276" i="3"/>
  <c r="AD277" i="3" a="1"/>
  <c r="AD277" i="3"/>
  <c r="AD278" i="3" a="1"/>
  <c r="AD278" i="3"/>
  <c r="AD279" i="3" a="1"/>
  <c r="AD279" i="3" s="1"/>
  <c r="AD280" i="3" a="1"/>
  <c r="AD280" i="3"/>
  <c r="AD281" i="3" a="1"/>
  <c r="AD281" i="3"/>
  <c r="AD282" i="3" a="1"/>
  <c r="AD282" i="3"/>
  <c r="AD283" i="3" a="1"/>
  <c r="AD283" i="3"/>
  <c r="AD284" i="3" a="1"/>
  <c r="AD284" i="3"/>
  <c r="AD285" i="3" a="1"/>
  <c r="AD285" i="3" s="1"/>
  <c r="AD286" i="3" a="1"/>
  <c r="AD286" i="3"/>
  <c r="AD287" i="3" a="1"/>
  <c r="AD287" i="3"/>
  <c r="AD288" i="3" a="1"/>
  <c r="AD288" i="3"/>
  <c r="AD289" i="3" a="1"/>
  <c r="AD289" i="3"/>
  <c r="AD290" i="3" a="1"/>
  <c r="AD290" i="3"/>
  <c r="AD291" i="3" a="1"/>
  <c r="AD291" i="3" s="1"/>
  <c r="AD292" i="3" a="1"/>
  <c r="AD292" i="3"/>
  <c r="AD293" i="3" a="1"/>
  <c r="AD293" i="3"/>
  <c r="AD294" i="3" a="1"/>
  <c r="AD294" i="3"/>
  <c r="AD295" i="3" a="1"/>
  <c r="AD295" i="3"/>
  <c r="AD296" i="3" a="1"/>
  <c r="AD296" i="3"/>
  <c r="AD297" i="3" a="1"/>
  <c r="AD297" i="3" s="1"/>
  <c r="AD298" i="3" a="1"/>
  <c r="AD298" i="3"/>
  <c r="AD299" i="3" a="1"/>
  <c r="AD299" i="3"/>
  <c r="AD300" i="3" a="1"/>
  <c r="AD300" i="3"/>
  <c r="AD301" i="3" a="1"/>
  <c r="AD301" i="3"/>
  <c r="AD302" i="3" a="1"/>
  <c r="AD302" i="3"/>
  <c r="AD303" i="3" a="1"/>
  <c r="AD303" i="3" s="1"/>
  <c r="AD304" i="3" a="1"/>
  <c r="AD304" i="3"/>
  <c r="AD305" i="3" a="1"/>
  <c r="AD305" i="3"/>
  <c r="AD306" i="3" a="1"/>
  <c r="AD306" i="3"/>
  <c r="AD307" i="3" a="1"/>
  <c r="AD307" i="3"/>
  <c r="AD308" i="3" a="1"/>
  <c r="AD308" i="3"/>
  <c r="AD309" i="3" a="1"/>
  <c r="AD309" i="3" s="1"/>
  <c r="AD310" i="3" a="1"/>
  <c r="AD310" i="3"/>
  <c r="AD311" i="3" a="1"/>
  <c r="AD311" i="3"/>
  <c r="AD312" i="3" a="1"/>
  <c r="AD312" i="3"/>
  <c r="AD313" i="3" a="1"/>
  <c r="AD313" i="3"/>
  <c r="AD314" i="3" a="1"/>
  <c r="AD314" i="3"/>
  <c r="AD315" i="3" a="1"/>
  <c r="AD315" i="3" s="1"/>
  <c r="AD316" i="3" a="1"/>
  <c r="AD316" i="3"/>
  <c r="AD317" i="3" a="1"/>
  <c r="AD317" i="3"/>
  <c r="AD318" i="3" a="1"/>
  <c r="AD318" i="3"/>
  <c r="AD319" i="3" a="1"/>
  <c r="AD319" i="3"/>
  <c r="AD320" i="3" a="1"/>
  <c r="AD320" i="3"/>
  <c r="AD321" i="3" a="1"/>
  <c r="AD321" i="3" s="1"/>
  <c r="AD322" i="3" a="1"/>
  <c r="AD322" i="3"/>
  <c r="AD323" i="3" a="1"/>
  <c r="AD323" i="3"/>
  <c r="AD2" i="3" a="1"/>
  <c r="AD2" i="3" s="1"/>
  <c r="AC3" i="3"/>
  <c r="AC4" i="3"/>
  <c r="AC5" i="3"/>
  <c r="AC6" i="3"/>
  <c r="AC7" i="3"/>
  <c r="AC8" i="3"/>
  <c r="AC9" i="3"/>
  <c r="AC10" i="3"/>
  <c r="AC11" i="3"/>
  <c r="AC12" i="3"/>
  <c r="AC13" i="3"/>
  <c r="AC14" i="3"/>
  <c r="AC15" i="3"/>
  <c r="AC16" i="3"/>
  <c r="AC17" i="3"/>
  <c r="AC18" i="3"/>
  <c r="AC19" i="3"/>
  <c r="AC20" i="3"/>
  <c r="AC21" i="3"/>
  <c r="AC22" i="3"/>
  <c r="AC23" i="3"/>
  <c r="AC24" i="3"/>
  <c r="AC25" i="3"/>
  <c r="AC26" i="3"/>
  <c r="AC27" i="3"/>
  <c r="AC28" i="3"/>
  <c r="AC29" i="3"/>
  <c r="AC30" i="3"/>
  <c r="AC31" i="3"/>
  <c r="AC32" i="3"/>
  <c r="AC33" i="3"/>
  <c r="AC34" i="3"/>
  <c r="AC35" i="3"/>
  <c r="AC36" i="3"/>
  <c r="AC37" i="3"/>
  <c r="AC38" i="3"/>
  <c r="AC39" i="3"/>
  <c r="AC40" i="3"/>
  <c r="AC41" i="3"/>
  <c r="AC42" i="3"/>
  <c r="AC43" i="3"/>
  <c r="AC44" i="3"/>
  <c r="AC45" i="3"/>
  <c r="AC46" i="3"/>
  <c r="AC47" i="3"/>
  <c r="AC48" i="3"/>
  <c r="AC49" i="3"/>
  <c r="AC50" i="3"/>
  <c r="AC51" i="3"/>
  <c r="AC52" i="3"/>
  <c r="AC53" i="3"/>
  <c r="AC54" i="3"/>
  <c r="AC55" i="3"/>
  <c r="AC56" i="3"/>
  <c r="AC57" i="3"/>
  <c r="AC58" i="3"/>
  <c r="AC59" i="3"/>
  <c r="AC60" i="3"/>
  <c r="AC61" i="3"/>
  <c r="AC62" i="3"/>
  <c r="AC63" i="3"/>
  <c r="AC64" i="3"/>
  <c r="AC65" i="3"/>
  <c r="AC66" i="3"/>
  <c r="AC67" i="3"/>
  <c r="AC68" i="3"/>
  <c r="AC69" i="3"/>
  <c r="AC70" i="3"/>
  <c r="AC71" i="3"/>
  <c r="AC72" i="3"/>
  <c r="AC73" i="3"/>
  <c r="AC74" i="3"/>
  <c r="AC75" i="3"/>
  <c r="AC76" i="3"/>
  <c r="AC77" i="3"/>
  <c r="AC78" i="3"/>
  <c r="AC79" i="3"/>
  <c r="AC80" i="3"/>
  <c r="AC81" i="3"/>
  <c r="AC82" i="3"/>
  <c r="AC83" i="3"/>
  <c r="AC84" i="3"/>
  <c r="AC85" i="3"/>
  <c r="AC86" i="3"/>
  <c r="AC87" i="3"/>
  <c r="AC88" i="3"/>
  <c r="AC89" i="3"/>
  <c r="AC90" i="3"/>
  <c r="AC91" i="3"/>
  <c r="AC92" i="3"/>
  <c r="AC93" i="3"/>
  <c r="AC94" i="3"/>
  <c r="AC95" i="3"/>
  <c r="AC96" i="3"/>
  <c r="AC97" i="3"/>
  <c r="AC98" i="3"/>
  <c r="AC99" i="3"/>
  <c r="AC100" i="3"/>
  <c r="AC101" i="3"/>
  <c r="AC102" i="3"/>
  <c r="AC103" i="3"/>
  <c r="AC104" i="3"/>
  <c r="AC105" i="3"/>
  <c r="AC106" i="3"/>
  <c r="AC107" i="3"/>
  <c r="AC108" i="3"/>
  <c r="AC109" i="3"/>
  <c r="AC110" i="3"/>
  <c r="AC111" i="3"/>
  <c r="AC112" i="3"/>
  <c r="AC113" i="3"/>
  <c r="AC114" i="3"/>
  <c r="AC115" i="3"/>
  <c r="AC116" i="3"/>
  <c r="AC117" i="3"/>
  <c r="AC118" i="3"/>
  <c r="AC119" i="3"/>
  <c r="AC120" i="3"/>
  <c r="AC121" i="3"/>
  <c r="AC122" i="3"/>
  <c r="AC123" i="3"/>
  <c r="AC124" i="3"/>
  <c r="AC125" i="3"/>
  <c r="AC126" i="3"/>
  <c r="AC127" i="3"/>
  <c r="AC128" i="3"/>
  <c r="AC129" i="3"/>
  <c r="AC130" i="3"/>
  <c r="AC131" i="3"/>
  <c r="AC132" i="3"/>
  <c r="AC133" i="3"/>
  <c r="AC134" i="3"/>
  <c r="AC135" i="3"/>
  <c r="AC136" i="3"/>
  <c r="AC137" i="3"/>
  <c r="AC138" i="3"/>
  <c r="AC139" i="3"/>
  <c r="AC140" i="3"/>
  <c r="AC141" i="3"/>
  <c r="AC142" i="3"/>
  <c r="AC143" i="3"/>
  <c r="AC144" i="3"/>
  <c r="AC145" i="3"/>
  <c r="AC146" i="3"/>
  <c r="AC147" i="3"/>
  <c r="AC148" i="3"/>
  <c r="AC149" i="3"/>
  <c r="AC150" i="3"/>
  <c r="AC151" i="3"/>
  <c r="AC152" i="3"/>
  <c r="AC153" i="3"/>
  <c r="AC154" i="3"/>
  <c r="AC155" i="3"/>
  <c r="AC156" i="3"/>
  <c r="AC157" i="3"/>
  <c r="AC158" i="3"/>
  <c r="AC159" i="3"/>
  <c r="AC160" i="3"/>
  <c r="AC161" i="3"/>
  <c r="AC162" i="3"/>
  <c r="AC163" i="3"/>
  <c r="AC164" i="3"/>
  <c r="AC165" i="3"/>
  <c r="AC166" i="3"/>
  <c r="AC167" i="3"/>
  <c r="AC168" i="3"/>
  <c r="AC169" i="3"/>
  <c r="AC170" i="3"/>
  <c r="AC171" i="3"/>
  <c r="AC172" i="3"/>
  <c r="AC173" i="3"/>
  <c r="AC174" i="3"/>
  <c r="AC175" i="3"/>
  <c r="AC176" i="3"/>
  <c r="AC177" i="3"/>
  <c r="AC178" i="3"/>
  <c r="AC179" i="3"/>
  <c r="AC180" i="3"/>
  <c r="AC181" i="3"/>
  <c r="AC182" i="3"/>
  <c r="AC183" i="3"/>
  <c r="AC184" i="3"/>
  <c r="AC185" i="3"/>
  <c r="AC186" i="3"/>
  <c r="AC187" i="3"/>
  <c r="AC188" i="3"/>
  <c r="AC189" i="3"/>
  <c r="AC190" i="3"/>
  <c r="AC191" i="3"/>
  <c r="AC192" i="3"/>
  <c r="AC193" i="3"/>
  <c r="AC194" i="3"/>
  <c r="AC195" i="3"/>
  <c r="AC196" i="3"/>
  <c r="AC197" i="3"/>
  <c r="AC198" i="3"/>
  <c r="AC199" i="3"/>
  <c r="AC200" i="3"/>
  <c r="AC201" i="3"/>
  <c r="AC202" i="3"/>
  <c r="AC203" i="3"/>
  <c r="AC204" i="3"/>
  <c r="AC205" i="3"/>
  <c r="AC206" i="3"/>
  <c r="AC207" i="3"/>
  <c r="AC208" i="3"/>
  <c r="AC209" i="3"/>
  <c r="AC210" i="3"/>
  <c r="AC211" i="3"/>
  <c r="AC212" i="3"/>
  <c r="AC213" i="3"/>
  <c r="AC214" i="3"/>
  <c r="AC215" i="3"/>
  <c r="AC216" i="3"/>
  <c r="AC217" i="3"/>
  <c r="AC218" i="3"/>
  <c r="AC219" i="3"/>
  <c r="AC220" i="3"/>
  <c r="AC221" i="3"/>
  <c r="AC222" i="3"/>
  <c r="AC223" i="3"/>
  <c r="AC224" i="3"/>
  <c r="AC225" i="3"/>
  <c r="AC226" i="3"/>
  <c r="AC227" i="3"/>
  <c r="AC228" i="3"/>
  <c r="AC229" i="3"/>
  <c r="AC230" i="3"/>
  <c r="AC231" i="3"/>
  <c r="AC232" i="3"/>
  <c r="AC233" i="3"/>
  <c r="AC234" i="3"/>
  <c r="AC235" i="3"/>
  <c r="AC236" i="3"/>
  <c r="AC237" i="3"/>
  <c r="AC238" i="3"/>
  <c r="AC239" i="3"/>
  <c r="AC240" i="3"/>
  <c r="AC241" i="3"/>
  <c r="AC242" i="3"/>
  <c r="AC243" i="3"/>
  <c r="AC244" i="3"/>
  <c r="AC245" i="3"/>
  <c r="AC246" i="3"/>
  <c r="AC247" i="3"/>
  <c r="AC248" i="3"/>
  <c r="AC249" i="3"/>
  <c r="AC250" i="3"/>
  <c r="AC251" i="3"/>
  <c r="AC252" i="3"/>
  <c r="AC253" i="3"/>
  <c r="AC254" i="3"/>
  <c r="AC255" i="3"/>
  <c r="AC256" i="3"/>
  <c r="AC257" i="3"/>
  <c r="AC258" i="3"/>
  <c r="AC259" i="3"/>
  <c r="AC260" i="3"/>
  <c r="AC261" i="3"/>
  <c r="AC262" i="3"/>
  <c r="AC263" i="3"/>
  <c r="AC264" i="3"/>
  <c r="AC265" i="3"/>
  <c r="AC266" i="3"/>
  <c r="AC267" i="3"/>
  <c r="AC268" i="3"/>
  <c r="AC269" i="3"/>
  <c r="AC270" i="3"/>
  <c r="AC271" i="3"/>
  <c r="AC272" i="3"/>
  <c r="AC273" i="3"/>
  <c r="AC274" i="3"/>
  <c r="AC275" i="3"/>
  <c r="AC276" i="3"/>
  <c r="AC277" i="3"/>
  <c r="AC278" i="3"/>
  <c r="AC279" i="3"/>
  <c r="AC280" i="3"/>
  <c r="AC281" i="3"/>
  <c r="AC282" i="3"/>
  <c r="AC283" i="3"/>
  <c r="AC284" i="3"/>
  <c r="AC285" i="3"/>
  <c r="AC286" i="3"/>
  <c r="AC287" i="3"/>
  <c r="AC288" i="3"/>
  <c r="AC289" i="3"/>
  <c r="AC290" i="3"/>
  <c r="AC291" i="3"/>
  <c r="AC292" i="3"/>
  <c r="AC293" i="3"/>
  <c r="AC294" i="3"/>
  <c r="AC295" i="3"/>
  <c r="AC296" i="3"/>
  <c r="AC297" i="3"/>
  <c r="AC298" i="3"/>
  <c r="AC299" i="3"/>
  <c r="AC300" i="3"/>
  <c r="AC301" i="3"/>
  <c r="AC302" i="3"/>
  <c r="AC303" i="3"/>
  <c r="AC304" i="3"/>
  <c r="AC305" i="3"/>
  <c r="AC306" i="3"/>
  <c r="AC307" i="3"/>
  <c r="AC308" i="3"/>
  <c r="AC309" i="3"/>
  <c r="AC310" i="3"/>
  <c r="AC311" i="3"/>
  <c r="AC312" i="3"/>
  <c r="AC313" i="3"/>
  <c r="AC314" i="3"/>
  <c r="AC315" i="3"/>
  <c r="AC316" i="3"/>
  <c r="AC317" i="3"/>
  <c r="AC318" i="3"/>
  <c r="AC319" i="3"/>
  <c r="AC320" i="3"/>
  <c r="AC321" i="3"/>
  <c r="AC322" i="3"/>
  <c r="AC323" i="3"/>
  <c r="AC2" i="3"/>
  <c r="AB3" i="3" a="1"/>
  <c r="AB3" i="3" s="1"/>
  <c r="AB4" i="3" a="1"/>
  <c r="AB4" i="3"/>
  <c r="AB5" i="3" a="1"/>
  <c r="AB5" i="3"/>
  <c r="AB6" i="3" a="1"/>
  <c r="AB6" i="3"/>
  <c r="AB7" i="3" a="1"/>
  <c r="AB7" i="3"/>
  <c r="AB8" i="3" a="1"/>
  <c r="AB8" i="3"/>
  <c r="AB9" i="3" a="1"/>
  <c r="AB9" i="3" s="1"/>
  <c r="AB10" i="3" a="1"/>
  <c r="AB10" i="3"/>
  <c r="AB11" i="3" a="1"/>
  <c r="AB11" i="3"/>
  <c r="AB12" i="3" a="1"/>
  <c r="AB12" i="3"/>
  <c r="AB13" i="3" a="1"/>
  <c r="AB13" i="3"/>
  <c r="AB14" i="3" a="1"/>
  <c r="AB14" i="3"/>
  <c r="AB15" i="3" a="1"/>
  <c r="AB15" i="3" s="1"/>
  <c r="AB16" i="3" a="1"/>
  <c r="AB16" i="3"/>
  <c r="AB17" i="3" a="1"/>
  <c r="AB17" i="3"/>
  <c r="AB18" i="3" a="1"/>
  <c r="AB18" i="3"/>
  <c r="AB19" i="3" a="1"/>
  <c r="AB19" i="3"/>
  <c r="AB20" i="3" a="1"/>
  <c r="AB20" i="3"/>
  <c r="AB21" i="3" a="1"/>
  <c r="AB21" i="3" s="1"/>
  <c r="AB22" i="3" a="1"/>
  <c r="AB22" i="3"/>
  <c r="AB23" i="3" a="1"/>
  <c r="AB23" i="3"/>
  <c r="AB24" i="3" a="1"/>
  <c r="AB24" i="3"/>
  <c r="AB25" i="3" a="1"/>
  <c r="AB25" i="3"/>
  <c r="AB26" i="3" a="1"/>
  <c r="AB26" i="3"/>
  <c r="AB27" i="3" a="1"/>
  <c r="AB27" i="3" s="1"/>
  <c r="AB28" i="3" a="1"/>
  <c r="AB28" i="3"/>
  <c r="AB29" i="3" a="1"/>
  <c r="AB29" i="3"/>
  <c r="AB30" i="3" a="1"/>
  <c r="AB30" i="3"/>
  <c r="AB31" i="3" a="1"/>
  <c r="AB31" i="3"/>
  <c r="AB32" i="3" a="1"/>
  <c r="AB32" i="3"/>
  <c r="AB33" i="3" a="1"/>
  <c r="AB33" i="3" s="1"/>
  <c r="AB34" i="3" a="1"/>
  <c r="AB34" i="3"/>
  <c r="AB35" i="3" a="1"/>
  <c r="AB35" i="3"/>
  <c r="AB36" i="3" a="1"/>
  <c r="AB36" i="3"/>
  <c r="AB37" i="3" a="1"/>
  <c r="AB37" i="3"/>
  <c r="AB38" i="3" a="1"/>
  <c r="AB38" i="3"/>
  <c r="AB39" i="3" a="1"/>
  <c r="AB39" i="3" s="1"/>
  <c r="AB40" i="3" a="1"/>
  <c r="AB40" i="3"/>
  <c r="AB41" i="3" a="1"/>
  <c r="AB41" i="3"/>
  <c r="AB42" i="3" a="1"/>
  <c r="AB42" i="3"/>
  <c r="AB43" i="3" a="1"/>
  <c r="AB43" i="3"/>
  <c r="AB44" i="3" a="1"/>
  <c r="AB44" i="3"/>
  <c r="AB45" i="3" a="1"/>
  <c r="AB45" i="3" s="1"/>
  <c r="AB46" i="3" a="1"/>
  <c r="AB46" i="3"/>
  <c r="AB47" i="3" a="1"/>
  <c r="AB47" i="3"/>
  <c r="AB48" i="3" a="1"/>
  <c r="AB48" i="3"/>
  <c r="AB49" i="3" a="1"/>
  <c r="AB49" i="3"/>
  <c r="AB50" i="3" a="1"/>
  <c r="AB50" i="3"/>
  <c r="AB51" i="3" a="1"/>
  <c r="AB51" i="3" s="1"/>
  <c r="AB52" i="3" a="1"/>
  <c r="AB52" i="3"/>
  <c r="AB53" i="3" a="1"/>
  <c r="AB53" i="3"/>
  <c r="AB54" i="3" a="1"/>
  <c r="AB54" i="3"/>
  <c r="AB55" i="3" a="1"/>
  <c r="AB55" i="3"/>
  <c r="AB56" i="3" a="1"/>
  <c r="AB56" i="3"/>
  <c r="AB57" i="3" a="1"/>
  <c r="AB57" i="3" s="1"/>
  <c r="AB58" i="3" a="1"/>
  <c r="AB58" i="3"/>
  <c r="AB59" i="3" a="1"/>
  <c r="AB59" i="3"/>
  <c r="AB60" i="3" a="1"/>
  <c r="AB60" i="3"/>
  <c r="AB61" i="3" a="1"/>
  <c r="AB61" i="3"/>
  <c r="AB62" i="3" a="1"/>
  <c r="AB62" i="3"/>
  <c r="AB63" i="3" a="1"/>
  <c r="AB63" i="3" s="1"/>
  <c r="AB64" i="3" a="1"/>
  <c r="AB64" i="3"/>
  <c r="AB65" i="3" a="1"/>
  <c r="AB65" i="3"/>
  <c r="AB66" i="3" a="1"/>
  <c r="AB66" i="3"/>
  <c r="AB67" i="3" a="1"/>
  <c r="AB67" i="3"/>
  <c r="AB68" i="3" a="1"/>
  <c r="AB68" i="3"/>
  <c r="AB69" i="3" a="1"/>
  <c r="AB69" i="3" s="1"/>
  <c r="AB70" i="3" a="1"/>
  <c r="AB70" i="3"/>
  <c r="AB71" i="3" a="1"/>
  <c r="AB71" i="3"/>
  <c r="AB72" i="3" a="1"/>
  <c r="AB72" i="3"/>
  <c r="AB73" i="3" a="1"/>
  <c r="AB73" i="3"/>
  <c r="AB74" i="3" a="1"/>
  <c r="AB74" i="3"/>
  <c r="AB75" i="3" a="1"/>
  <c r="AB75" i="3" s="1"/>
  <c r="AB76" i="3" a="1"/>
  <c r="AB76" i="3"/>
  <c r="AB77" i="3" a="1"/>
  <c r="AB77" i="3"/>
  <c r="AB78" i="3" a="1"/>
  <c r="AB78" i="3"/>
  <c r="AB79" i="3" a="1"/>
  <c r="AB79" i="3"/>
  <c r="AB80" i="3" a="1"/>
  <c r="AB80" i="3"/>
  <c r="AB81" i="3" a="1"/>
  <c r="AB81" i="3" s="1"/>
  <c r="AB82" i="3" a="1"/>
  <c r="AB82" i="3"/>
  <c r="AB83" i="3" a="1"/>
  <c r="AB83" i="3"/>
  <c r="AB84" i="3" a="1"/>
  <c r="AB84" i="3"/>
  <c r="AB85" i="3" a="1"/>
  <c r="AB85" i="3"/>
  <c r="AB86" i="3" a="1"/>
  <c r="AB86" i="3"/>
  <c r="AB87" i="3" a="1"/>
  <c r="AB87" i="3" s="1"/>
  <c r="AB88" i="3" a="1"/>
  <c r="AB88" i="3"/>
  <c r="AB89" i="3" a="1"/>
  <c r="AB89" i="3"/>
  <c r="AB90" i="3" a="1"/>
  <c r="AB90" i="3"/>
  <c r="AB91" i="3" a="1"/>
  <c r="AB91" i="3"/>
  <c r="AB92" i="3" a="1"/>
  <c r="AB92" i="3"/>
  <c r="AB93" i="3" a="1"/>
  <c r="AB93" i="3" s="1"/>
  <c r="AB94" i="3" a="1"/>
  <c r="AB94" i="3"/>
  <c r="AB95" i="3" a="1"/>
  <c r="AB95" i="3"/>
  <c r="AB96" i="3" a="1"/>
  <c r="AB96" i="3"/>
  <c r="AB97" i="3" a="1"/>
  <c r="AB97" i="3"/>
  <c r="AB98" i="3" a="1"/>
  <c r="AB98" i="3"/>
  <c r="AB99" i="3" a="1"/>
  <c r="AB99" i="3" s="1"/>
  <c r="AB100" i="3" a="1"/>
  <c r="AB100" i="3"/>
  <c r="AB101" i="3" a="1"/>
  <c r="AB101" i="3"/>
  <c r="AB102" i="3" a="1"/>
  <c r="AB102" i="3"/>
  <c r="AB103" i="3" a="1"/>
  <c r="AB103" i="3"/>
  <c r="AB104" i="3" a="1"/>
  <c r="AB104" i="3"/>
  <c r="AB105" i="3" a="1"/>
  <c r="AB105" i="3" s="1"/>
  <c r="AB106" i="3" a="1"/>
  <c r="AB106" i="3"/>
  <c r="AB107" i="3" a="1"/>
  <c r="AB107" i="3"/>
  <c r="AB108" i="3" a="1"/>
  <c r="AB108" i="3"/>
  <c r="AB109" i="3" a="1"/>
  <c r="AB109" i="3"/>
  <c r="AB110" i="3" a="1"/>
  <c r="AB110" i="3"/>
  <c r="AB111" i="3" a="1"/>
  <c r="AB111" i="3" s="1"/>
  <c r="AB112" i="3" a="1"/>
  <c r="AB112" i="3"/>
  <c r="AB113" i="3" a="1"/>
  <c r="AB113" i="3"/>
  <c r="AB114" i="3" a="1"/>
  <c r="AB114" i="3"/>
  <c r="AB115" i="3" a="1"/>
  <c r="AB115" i="3"/>
  <c r="AB116" i="3" a="1"/>
  <c r="AB116" i="3"/>
  <c r="AB117" i="3" a="1"/>
  <c r="AB117" i="3" s="1"/>
  <c r="AB118" i="3" a="1"/>
  <c r="AB118" i="3"/>
  <c r="AB119" i="3" a="1"/>
  <c r="AB119" i="3"/>
  <c r="AB120" i="3" a="1"/>
  <c r="AB120" i="3"/>
  <c r="AB121" i="3" a="1"/>
  <c r="AB121" i="3"/>
  <c r="AB122" i="3" a="1"/>
  <c r="AB122" i="3"/>
  <c r="AB123" i="3" a="1"/>
  <c r="AB123" i="3" s="1"/>
  <c r="AB124" i="3" a="1"/>
  <c r="AB124" i="3"/>
  <c r="AB125" i="3" a="1"/>
  <c r="AB125" i="3"/>
  <c r="AB126" i="3" a="1"/>
  <c r="AB126" i="3"/>
  <c r="AB127" i="3" a="1"/>
  <c r="AB127" i="3"/>
  <c r="AB128" i="3" a="1"/>
  <c r="AB128" i="3"/>
  <c r="AB129" i="3" a="1"/>
  <c r="AB129" i="3" s="1"/>
  <c r="AB130" i="3" a="1"/>
  <c r="AB130" i="3"/>
  <c r="AB131" i="3" a="1"/>
  <c r="AB131" i="3"/>
  <c r="AB132" i="3" a="1"/>
  <c r="AB132" i="3"/>
  <c r="AB133" i="3" a="1"/>
  <c r="AB133" i="3"/>
  <c r="AB134" i="3" a="1"/>
  <c r="AB134" i="3"/>
  <c r="AB135" i="3" a="1"/>
  <c r="AB135" i="3" s="1"/>
  <c r="AB136" i="3" a="1"/>
  <c r="AB136" i="3"/>
  <c r="AB137" i="3" a="1"/>
  <c r="AB137" i="3"/>
  <c r="AB138" i="3" a="1"/>
  <c r="AB138" i="3"/>
  <c r="AB139" i="3" a="1"/>
  <c r="AB139" i="3"/>
  <c r="AB140" i="3" a="1"/>
  <c r="AB140" i="3"/>
  <c r="AB141" i="3" a="1"/>
  <c r="AB141" i="3" s="1"/>
  <c r="AB142" i="3" a="1"/>
  <c r="AB142" i="3"/>
  <c r="AB143" i="3" a="1"/>
  <c r="AB143" i="3"/>
  <c r="AB144" i="3" a="1"/>
  <c r="AB144" i="3"/>
  <c r="AB145" i="3" a="1"/>
  <c r="AB145" i="3"/>
  <c r="AB146" i="3" a="1"/>
  <c r="AB146" i="3"/>
  <c r="AB147" i="3" a="1"/>
  <c r="AB147" i="3" s="1"/>
  <c r="AB148" i="3" a="1"/>
  <c r="AB148" i="3"/>
  <c r="AB149" i="3" a="1"/>
  <c r="AB149" i="3"/>
  <c r="AB150" i="3" a="1"/>
  <c r="AB150" i="3"/>
  <c r="AB151" i="3" a="1"/>
  <c r="AB151" i="3"/>
  <c r="AB152" i="3" a="1"/>
  <c r="AB152" i="3"/>
  <c r="AB153" i="3" a="1"/>
  <c r="AB153" i="3" s="1"/>
  <c r="AB154" i="3" a="1"/>
  <c r="AB154" i="3"/>
  <c r="AB155" i="3" a="1"/>
  <c r="AB155" i="3"/>
  <c r="AB156" i="3" a="1"/>
  <c r="AB156" i="3"/>
  <c r="AB157" i="3" a="1"/>
  <c r="AB157" i="3"/>
  <c r="AB158" i="3" a="1"/>
  <c r="AB158" i="3"/>
  <c r="AB159" i="3" a="1"/>
  <c r="AB159" i="3" s="1"/>
  <c r="AB160" i="3" a="1"/>
  <c r="AB160" i="3"/>
  <c r="AB161" i="3" a="1"/>
  <c r="AB161" i="3"/>
  <c r="AB162" i="3" a="1"/>
  <c r="AB162" i="3"/>
  <c r="AB163" i="3" a="1"/>
  <c r="AB163" i="3"/>
  <c r="AB164" i="3" a="1"/>
  <c r="AB164" i="3"/>
  <c r="AB165" i="3" a="1"/>
  <c r="AB165" i="3" s="1"/>
  <c r="AB166" i="3" a="1"/>
  <c r="AB166" i="3"/>
  <c r="AB167" i="3" a="1"/>
  <c r="AB167" i="3"/>
  <c r="AB168" i="3" a="1"/>
  <c r="AB168" i="3"/>
  <c r="AB169" i="3" a="1"/>
  <c r="AB169" i="3"/>
  <c r="AB170" i="3" a="1"/>
  <c r="AB170" i="3" s="1"/>
  <c r="AB171" i="3" a="1"/>
  <c r="AB171" i="3" s="1"/>
  <c r="AB172" i="3" a="1"/>
  <c r="AB172" i="3"/>
  <c r="AB173" i="3" a="1"/>
  <c r="AB173" i="3"/>
  <c r="AB174" i="3" a="1"/>
  <c r="AB174" i="3"/>
  <c r="AB175" i="3" a="1"/>
  <c r="AB175" i="3"/>
  <c r="AB176" i="3" a="1"/>
  <c r="AB176" i="3"/>
  <c r="AB177" i="3" a="1"/>
  <c r="AB177" i="3" s="1"/>
  <c r="AB178" i="3" a="1"/>
  <c r="AB178" i="3"/>
  <c r="AB179" i="3" a="1"/>
  <c r="AB179" i="3"/>
  <c r="AB180" i="3" a="1"/>
  <c r="AB180" i="3"/>
  <c r="AB181" i="3" a="1"/>
  <c r="AB181" i="3"/>
  <c r="AB182" i="3" a="1"/>
  <c r="AB182" i="3"/>
  <c r="AB183" i="3" a="1"/>
  <c r="AB183" i="3" s="1"/>
  <c r="AB184" i="3" a="1"/>
  <c r="AB184" i="3"/>
  <c r="AB185" i="3" a="1"/>
  <c r="AB185" i="3"/>
  <c r="AB186" i="3" a="1"/>
  <c r="AB186" i="3"/>
  <c r="AB187" i="3" a="1"/>
  <c r="AB187" i="3"/>
  <c r="AB188" i="3" a="1"/>
  <c r="AB188" i="3"/>
  <c r="AB189" i="3" a="1"/>
  <c r="AB189" i="3" s="1"/>
  <c r="AB190" i="3" a="1"/>
  <c r="AB190" i="3"/>
  <c r="AB191" i="3" a="1"/>
  <c r="AB191" i="3"/>
  <c r="AB192" i="3" a="1"/>
  <c r="AB192" i="3"/>
  <c r="AB193" i="3" a="1"/>
  <c r="AB193" i="3"/>
  <c r="AB194" i="3" a="1"/>
  <c r="AB194" i="3"/>
  <c r="AB195" i="3" a="1"/>
  <c r="AB195" i="3" s="1"/>
  <c r="AB196" i="3" a="1"/>
  <c r="AB196" i="3"/>
  <c r="AB197" i="3" a="1"/>
  <c r="AB197" i="3"/>
  <c r="AB198" i="3" a="1"/>
  <c r="AB198" i="3"/>
  <c r="AB199" i="3" a="1"/>
  <c r="AB199" i="3"/>
  <c r="AB200" i="3" a="1"/>
  <c r="AB200" i="3"/>
  <c r="AB201" i="3" a="1"/>
  <c r="AB201" i="3" s="1"/>
  <c r="AB202" i="3" a="1"/>
  <c r="AB202" i="3"/>
  <c r="AB203" i="3" a="1"/>
  <c r="AB203" i="3"/>
  <c r="AB204" i="3" a="1"/>
  <c r="AB204" i="3"/>
  <c r="AB205" i="3" a="1"/>
  <c r="AB205" i="3"/>
  <c r="AB206" i="3" a="1"/>
  <c r="AB206" i="3"/>
  <c r="AB207" i="3" a="1"/>
  <c r="AB207" i="3" s="1"/>
  <c r="AB208" i="3" a="1"/>
  <c r="AB208" i="3"/>
  <c r="AB209" i="3" a="1"/>
  <c r="AB209" i="3"/>
  <c r="AB210" i="3" a="1"/>
  <c r="AB210" i="3"/>
  <c r="AB211" i="3" a="1"/>
  <c r="AB211" i="3"/>
  <c r="AB212" i="3" a="1"/>
  <c r="AB212" i="3"/>
  <c r="AB213" i="3" a="1"/>
  <c r="AB213" i="3" s="1"/>
  <c r="AB214" i="3" a="1"/>
  <c r="AB214" i="3"/>
  <c r="AB215" i="3" a="1"/>
  <c r="AB215" i="3"/>
  <c r="AB216" i="3" a="1"/>
  <c r="AB216" i="3"/>
  <c r="AB217" i="3" a="1"/>
  <c r="AB217" i="3"/>
  <c r="AB218" i="3" a="1"/>
  <c r="AB218" i="3"/>
  <c r="AB219" i="3" a="1"/>
  <c r="AB219" i="3" s="1"/>
  <c r="AB220" i="3" a="1"/>
  <c r="AB220" i="3"/>
  <c r="AB221" i="3" a="1"/>
  <c r="AB221" i="3"/>
  <c r="AB222" i="3" a="1"/>
  <c r="AB222" i="3"/>
  <c r="AB223" i="3" a="1"/>
  <c r="AB223" i="3"/>
  <c r="AB224" i="3" a="1"/>
  <c r="AB224" i="3"/>
  <c r="AB225" i="3" a="1"/>
  <c r="AB225" i="3" s="1"/>
  <c r="AB226" i="3" a="1"/>
  <c r="AB226" i="3"/>
  <c r="AB227" i="3" a="1"/>
  <c r="AB227" i="3"/>
  <c r="AB228" i="3" a="1"/>
  <c r="AB228" i="3"/>
  <c r="AB229" i="3" a="1"/>
  <c r="AB229" i="3"/>
  <c r="AB230" i="3" a="1"/>
  <c r="AB230" i="3"/>
  <c r="AB231" i="3" a="1"/>
  <c r="AB231" i="3" s="1"/>
  <c r="AB232" i="3" a="1"/>
  <c r="AB232" i="3"/>
  <c r="AB233" i="3" a="1"/>
  <c r="AB233" i="3"/>
  <c r="AB234" i="3" a="1"/>
  <c r="AB234" i="3"/>
  <c r="AB235" i="3" a="1"/>
  <c r="AB235" i="3"/>
  <c r="AB236" i="3" a="1"/>
  <c r="AB236" i="3"/>
  <c r="AB237" i="3" a="1"/>
  <c r="AB237" i="3" s="1"/>
  <c r="AB238" i="3" a="1"/>
  <c r="AB238" i="3"/>
  <c r="AB239" i="3" a="1"/>
  <c r="AB239" i="3"/>
  <c r="AB240" i="3" a="1"/>
  <c r="AB240" i="3"/>
  <c r="AB241" i="3" a="1"/>
  <c r="AB241" i="3"/>
  <c r="AB242" i="3" a="1"/>
  <c r="AB242" i="3"/>
  <c r="AB243" i="3" a="1"/>
  <c r="AB243" i="3" s="1"/>
  <c r="AB244" i="3" a="1"/>
  <c r="AB244" i="3"/>
  <c r="AB245" i="3" a="1"/>
  <c r="AB245" i="3"/>
  <c r="AB246" i="3" a="1"/>
  <c r="AB246" i="3"/>
  <c r="AB247" i="3" a="1"/>
  <c r="AB247" i="3"/>
  <c r="AB248" i="3" a="1"/>
  <c r="AB248" i="3"/>
  <c r="AB249" i="3" a="1"/>
  <c r="AB249" i="3" s="1"/>
  <c r="AB250" i="3" a="1"/>
  <c r="AB250" i="3"/>
  <c r="AB251" i="3" a="1"/>
  <c r="AB251" i="3"/>
  <c r="AB252" i="3" a="1"/>
  <c r="AB252" i="3"/>
  <c r="AB253" i="3" a="1"/>
  <c r="AB253" i="3"/>
  <c r="AB254" i="3" a="1"/>
  <c r="AB254" i="3"/>
  <c r="AB255" i="3" a="1"/>
  <c r="AB255" i="3" s="1"/>
  <c r="AB256" i="3" a="1"/>
  <c r="AB256" i="3"/>
  <c r="AB257" i="3" a="1"/>
  <c r="AB257" i="3"/>
  <c r="AB258" i="3" a="1"/>
  <c r="AB258" i="3"/>
  <c r="AB259" i="3" a="1"/>
  <c r="AB259" i="3"/>
  <c r="AB260" i="3" a="1"/>
  <c r="AB260" i="3"/>
  <c r="AB261" i="3" a="1"/>
  <c r="AB261" i="3" s="1"/>
  <c r="AB262" i="3" a="1"/>
  <c r="AB262" i="3"/>
  <c r="AB263" i="3" a="1"/>
  <c r="AB263" i="3"/>
  <c r="AB264" i="3" a="1"/>
  <c r="AB264" i="3"/>
  <c r="AB265" i="3" a="1"/>
  <c r="AB265" i="3"/>
  <c r="AB266" i="3" a="1"/>
  <c r="AB266" i="3"/>
  <c r="AB267" i="3" a="1"/>
  <c r="AB267" i="3" s="1"/>
  <c r="AB268" i="3" a="1"/>
  <c r="AB268" i="3"/>
  <c r="AB269" i="3" a="1"/>
  <c r="AB269" i="3"/>
  <c r="AB270" i="3" a="1"/>
  <c r="AB270" i="3"/>
  <c r="AB271" i="3" a="1"/>
  <c r="AB271" i="3"/>
  <c r="AB272" i="3" a="1"/>
  <c r="AB272" i="3"/>
  <c r="AB273" i="3" a="1"/>
  <c r="AB273" i="3" s="1"/>
  <c r="AB274" i="3" a="1"/>
  <c r="AB274" i="3"/>
  <c r="AB275" i="3" a="1"/>
  <c r="AB275" i="3"/>
  <c r="AB276" i="3" a="1"/>
  <c r="AB276" i="3"/>
  <c r="AB277" i="3" a="1"/>
  <c r="AB277" i="3"/>
  <c r="AB278" i="3" a="1"/>
  <c r="AB278" i="3"/>
  <c r="AB279" i="3" a="1"/>
  <c r="AB279" i="3" s="1"/>
  <c r="AB280" i="3" a="1"/>
  <c r="AB280" i="3"/>
  <c r="AB281" i="3" a="1"/>
  <c r="AB281" i="3"/>
  <c r="AB282" i="3" a="1"/>
  <c r="AB282" i="3"/>
  <c r="AB283" i="3" a="1"/>
  <c r="AB283" i="3"/>
  <c r="AB284" i="3" a="1"/>
  <c r="AB284" i="3"/>
  <c r="AB285" i="3" a="1"/>
  <c r="AB285" i="3" s="1"/>
  <c r="AB286" i="3" a="1"/>
  <c r="AB286" i="3"/>
  <c r="AB287" i="3" a="1"/>
  <c r="AB287" i="3"/>
  <c r="AB288" i="3" a="1"/>
  <c r="AB288" i="3"/>
  <c r="AB289" i="3" a="1"/>
  <c r="AB289" i="3"/>
  <c r="AB290" i="3" a="1"/>
  <c r="AB290" i="3"/>
  <c r="AB291" i="3" a="1"/>
  <c r="AB291" i="3" s="1"/>
  <c r="AB292" i="3" a="1"/>
  <c r="AB292" i="3"/>
  <c r="AB293" i="3" a="1"/>
  <c r="AB293" i="3"/>
  <c r="AB294" i="3" a="1"/>
  <c r="AB294" i="3"/>
  <c r="AB295" i="3" a="1"/>
  <c r="AB295" i="3"/>
  <c r="AB296" i="3" a="1"/>
  <c r="AB296" i="3"/>
  <c r="AB297" i="3" a="1"/>
  <c r="AB297" i="3" s="1"/>
  <c r="AB298" i="3" a="1"/>
  <c r="AB298" i="3"/>
  <c r="AB299" i="3" a="1"/>
  <c r="AB299" i="3"/>
  <c r="AB300" i="3" a="1"/>
  <c r="AB300" i="3"/>
  <c r="AB301" i="3" a="1"/>
  <c r="AB301" i="3"/>
  <c r="AB302" i="3" a="1"/>
  <c r="AB302" i="3"/>
  <c r="AB303" i="3" a="1"/>
  <c r="AB303" i="3" s="1"/>
  <c r="AB304" i="3" a="1"/>
  <c r="AB304" i="3"/>
  <c r="AB305" i="3" a="1"/>
  <c r="AB305" i="3"/>
  <c r="AB306" i="3" a="1"/>
  <c r="AB306" i="3"/>
  <c r="AB307" i="3" a="1"/>
  <c r="AB307" i="3"/>
  <c r="AB308" i="3" a="1"/>
  <c r="AB308" i="3"/>
  <c r="AB309" i="3" a="1"/>
  <c r="AB309" i="3" s="1"/>
  <c r="AB310" i="3" a="1"/>
  <c r="AB310" i="3"/>
  <c r="AB311" i="3" a="1"/>
  <c r="AB311" i="3"/>
  <c r="AB312" i="3" a="1"/>
  <c r="AB312" i="3"/>
  <c r="AB313" i="3" a="1"/>
  <c r="AB313" i="3"/>
  <c r="AB314" i="3" a="1"/>
  <c r="AB314" i="3"/>
  <c r="AB315" i="3" a="1"/>
  <c r="AB315" i="3" s="1"/>
  <c r="AB316" i="3" a="1"/>
  <c r="AB316" i="3"/>
  <c r="AB317" i="3" a="1"/>
  <c r="AB317" i="3"/>
  <c r="AB318" i="3" a="1"/>
  <c r="AB318" i="3"/>
  <c r="AB319" i="3" a="1"/>
  <c r="AB319" i="3"/>
  <c r="AB320" i="3" a="1"/>
  <c r="AB320" i="3"/>
  <c r="AB321" i="3" a="1"/>
  <c r="AB321" i="3" s="1"/>
  <c r="AB322" i="3" a="1"/>
  <c r="AB322" i="3"/>
  <c r="AB323" i="3" a="1"/>
  <c r="AB323" i="3"/>
  <c r="AB2" i="3" a="1"/>
  <c r="AB2" i="3" s="1"/>
  <c r="AA3" i="3" a="1"/>
  <c r="AA3" i="3"/>
  <c r="AA4" i="3" a="1"/>
  <c r="AA4" i="3"/>
  <c r="AA5" i="3" a="1"/>
  <c r="AA5" i="3"/>
  <c r="AA6" i="3" a="1"/>
  <c r="AA6" i="3"/>
  <c r="AA7" i="3" a="1"/>
  <c r="AA7" i="3"/>
  <c r="AA8" i="3" a="1"/>
  <c r="AA8" i="3"/>
  <c r="AA9" i="3" a="1"/>
  <c r="AA9" i="3"/>
  <c r="AA10" i="3" a="1"/>
  <c r="AA10" i="3"/>
  <c r="AA11" i="3" a="1"/>
  <c r="AA11" i="3"/>
  <c r="AA12" i="3" a="1"/>
  <c r="AA12" i="3"/>
  <c r="AA13" i="3" a="1"/>
  <c r="AA13" i="3"/>
  <c r="AA14" i="3" a="1"/>
  <c r="AA14" i="3"/>
  <c r="AA15" i="3" a="1"/>
  <c r="AA15" i="3"/>
  <c r="AA16" i="3" a="1"/>
  <c r="AA16" i="3"/>
  <c r="AA17" i="3" a="1"/>
  <c r="AA17" i="3"/>
  <c r="AA18" i="3" a="1"/>
  <c r="AA18" i="3"/>
  <c r="AA19" i="3" a="1"/>
  <c r="AA19" i="3"/>
  <c r="AA20" i="3" a="1"/>
  <c r="AA20" i="3"/>
  <c r="AA21" i="3" a="1"/>
  <c r="AA21" i="3"/>
  <c r="AA22" i="3" a="1"/>
  <c r="AA22" i="3"/>
  <c r="AA23" i="3" a="1"/>
  <c r="AA23" i="3"/>
  <c r="AA24" i="3" a="1"/>
  <c r="AA24" i="3"/>
  <c r="AA25" i="3" a="1"/>
  <c r="AA25" i="3"/>
  <c r="AA26" i="3" a="1"/>
  <c r="AA26" i="3"/>
  <c r="AA27" i="3" a="1"/>
  <c r="AA27" i="3"/>
  <c r="AA28" i="3" a="1"/>
  <c r="AA28" i="3"/>
  <c r="AA29" i="3" a="1"/>
  <c r="AA29" i="3"/>
  <c r="AA30" i="3" a="1"/>
  <c r="AA30" i="3"/>
  <c r="AA31" i="3" a="1"/>
  <c r="AA31" i="3"/>
  <c r="AA32" i="3" a="1"/>
  <c r="AA32" i="3"/>
  <c r="AA33" i="3" a="1"/>
  <c r="AA33" i="3"/>
  <c r="AA34" i="3" a="1"/>
  <c r="AA34" i="3"/>
  <c r="AA35" i="3" a="1"/>
  <c r="AA35" i="3"/>
  <c r="AA36" i="3" a="1"/>
  <c r="AA36" i="3"/>
  <c r="AA37" i="3" a="1"/>
  <c r="AA37" i="3"/>
  <c r="AA38" i="3" a="1"/>
  <c r="AA38" i="3"/>
  <c r="AA39" i="3" a="1"/>
  <c r="AA39" i="3"/>
  <c r="AA40" i="3" a="1"/>
  <c r="AA40" i="3"/>
  <c r="AA41" i="3" a="1"/>
  <c r="AA41" i="3"/>
  <c r="AA42" i="3" a="1"/>
  <c r="AA42" i="3"/>
  <c r="AA43" i="3" a="1"/>
  <c r="AA43" i="3"/>
  <c r="AA44" i="3" a="1"/>
  <c r="AA44" i="3"/>
  <c r="AA45" i="3" a="1"/>
  <c r="AA45" i="3"/>
  <c r="AA46" i="3" a="1"/>
  <c r="AA46" i="3"/>
  <c r="AA47" i="3" a="1"/>
  <c r="AA47" i="3"/>
  <c r="AA48" i="3" a="1"/>
  <c r="AA48" i="3"/>
  <c r="AA49" i="3" a="1"/>
  <c r="AA49" i="3"/>
  <c r="AA50" i="3" a="1"/>
  <c r="AA50" i="3"/>
  <c r="AA51" i="3" a="1"/>
  <c r="AA51" i="3"/>
  <c r="AA52" i="3" a="1"/>
  <c r="AA52" i="3"/>
  <c r="AA53" i="3" a="1"/>
  <c r="AA53" i="3"/>
  <c r="AA54" i="3" a="1"/>
  <c r="AA54" i="3"/>
  <c r="AA55" i="3" a="1"/>
  <c r="AA55" i="3"/>
  <c r="AA56" i="3" a="1"/>
  <c r="AA56" i="3"/>
  <c r="AA57" i="3" a="1"/>
  <c r="AA57" i="3"/>
  <c r="AA58" i="3" a="1"/>
  <c r="AA58" i="3"/>
  <c r="AA59" i="3" a="1"/>
  <c r="AA59" i="3"/>
  <c r="AA60" i="3" a="1"/>
  <c r="AA60" i="3"/>
  <c r="AA61" i="3" a="1"/>
  <c r="AA61" i="3"/>
  <c r="AA62" i="3" a="1"/>
  <c r="AA62" i="3"/>
  <c r="AA63" i="3" a="1"/>
  <c r="AA63" i="3"/>
  <c r="AA64" i="3" a="1"/>
  <c r="AA64" i="3"/>
  <c r="AA65" i="3" a="1"/>
  <c r="AA65" i="3"/>
  <c r="AA66" i="3" a="1"/>
  <c r="AA66" i="3"/>
  <c r="AA67" i="3" a="1"/>
  <c r="AA67" i="3"/>
  <c r="AA68" i="3" a="1"/>
  <c r="AA68" i="3"/>
  <c r="AA69" i="3" a="1"/>
  <c r="AA69" i="3"/>
  <c r="AA70" i="3" a="1"/>
  <c r="AA70" i="3"/>
  <c r="AA71" i="3" a="1"/>
  <c r="AA71" i="3"/>
  <c r="AA72" i="3" a="1"/>
  <c r="AA72" i="3"/>
  <c r="AA73" i="3" a="1"/>
  <c r="AA73" i="3"/>
  <c r="AA74" i="3" a="1"/>
  <c r="AA74" i="3"/>
  <c r="AA75" i="3" a="1"/>
  <c r="AA75" i="3"/>
  <c r="AA76" i="3" a="1"/>
  <c r="AA76" i="3"/>
  <c r="AA77" i="3" a="1"/>
  <c r="AA77" i="3"/>
  <c r="AA78" i="3" a="1"/>
  <c r="AA78" i="3"/>
  <c r="AA79" i="3" a="1"/>
  <c r="AA79" i="3"/>
  <c r="AA80" i="3" a="1"/>
  <c r="AA80" i="3"/>
  <c r="AA81" i="3" a="1"/>
  <c r="AA81" i="3" s="1"/>
  <c r="AA82" i="3" a="1"/>
  <c r="AA82" i="3"/>
  <c r="AA83" i="3" a="1"/>
  <c r="AA83" i="3"/>
  <c r="AA84" i="3" a="1"/>
  <c r="AA84" i="3"/>
  <c r="AA85" i="3" a="1"/>
  <c r="AA85" i="3"/>
  <c r="AA86" i="3" a="1"/>
  <c r="AA86" i="3"/>
  <c r="AA87" i="3" a="1"/>
  <c r="AA87" i="3" s="1"/>
  <c r="AA88" i="3" a="1"/>
  <c r="AA88" i="3"/>
  <c r="AA89" i="3" a="1"/>
  <c r="AA89" i="3"/>
  <c r="AA90" i="3" a="1"/>
  <c r="AA90" i="3"/>
  <c r="AA91" i="3" a="1"/>
  <c r="AA91" i="3"/>
  <c r="AA92" i="3" a="1"/>
  <c r="AA92" i="3"/>
  <c r="AA93" i="3" a="1"/>
  <c r="AA93" i="3" s="1"/>
  <c r="AA94" i="3" a="1"/>
  <c r="AA94" i="3"/>
  <c r="AA95" i="3" a="1"/>
  <c r="AA95" i="3"/>
  <c r="AA96" i="3" a="1"/>
  <c r="AA96" i="3"/>
  <c r="AA97" i="3" a="1"/>
  <c r="AA97" i="3"/>
  <c r="AA98" i="3" a="1"/>
  <c r="AA98" i="3"/>
  <c r="AA99" i="3" a="1"/>
  <c r="AA99" i="3" s="1"/>
  <c r="AA100" i="3" a="1"/>
  <c r="AA100" i="3"/>
  <c r="AA101" i="3" a="1"/>
  <c r="AA101" i="3"/>
  <c r="AA102" i="3" a="1"/>
  <c r="AA102" i="3"/>
  <c r="AA103" i="3" a="1"/>
  <c r="AA103" i="3"/>
  <c r="AA104" i="3" a="1"/>
  <c r="AA104" i="3"/>
  <c r="AA105" i="3" a="1"/>
  <c r="AA105" i="3" s="1"/>
  <c r="AA106" i="3" a="1"/>
  <c r="AA106" i="3"/>
  <c r="AA107" i="3" a="1"/>
  <c r="AA107" i="3"/>
  <c r="AA108" i="3" a="1"/>
  <c r="AA108" i="3"/>
  <c r="AA109" i="3" a="1"/>
  <c r="AA109" i="3"/>
  <c r="AA110" i="3" a="1"/>
  <c r="AA110" i="3"/>
  <c r="AA111" i="3" a="1"/>
  <c r="AA111" i="3" s="1"/>
  <c r="AA112" i="3" a="1"/>
  <c r="AA112" i="3"/>
  <c r="AA113" i="3" a="1"/>
  <c r="AA113" i="3"/>
  <c r="AA114" i="3" a="1"/>
  <c r="AA114" i="3"/>
  <c r="AA115" i="3" a="1"/>
  <c r="AA115" i="3"/>
  <c r="AA116" i="3" a="1"/>
  <c r="AA116" i="3"/>
  <c r="AA117" i="3" a="1"/>
  <c r="AA117" i="3" s="1"/>
  <c r="AA118" i="3" a="1"/>
  <c r="AA118" i="3"/>
  <c r="AA119" i="3" a="1"/>
  <c r="AA119" i="3"/>
  <c r="AA120" i="3" a="1"/>
  <c r="AA120" i="3"/>
  <c r="AA121" i="3" a="1"/>
  <c r="AA121" i="3"/>
  <c r="AA122" i="3" a="1"/>
  <c r="AA122" i="3"/>
  <c r="AA123" i="3" a="1"/>
  <c r="AA123" i="3" s="1"/>
  <c r="AA124" i="3" a="1"/>
  <c r="AA124" i="3"/>
  <c r="AA125" i="3" a="1"/>
  <c r="AA125" i="3"/>
  <c r="AA126" i="3" a="1"/>
  <c r="AA126" i="3"/>
  <c r="AA127" i="3" a="1"/>
  <c r="AA127" i="3"/>
  <c r="AA128" i="3" a="1"/>
  <c r="AA128" i="3"/>
  <c r="AA129" i="3" a="1"/>
  <c r="AA129" i="3" s="1"/>
  <c r="AA130" i="3" a="1"/>
  <c r="AA130" i="3"/>
  <c r="AA131" i="3" a="1"/>
  <c r="AA131" i="3"/>
  <c r="AA132" i="3" a="1"/>
  <c r="AA132" i="3"/>
  <c r="AA133" i="3" a="1"/>
  <c r="AA133" i="3"/>
  <c r="AA134" i="3" a="1"/>
  <c r="AA134" i="3"/>
  <c r="AA135" i="3" a="1"/>
  <c r="AA135" i="3" s="1"/>
  <c r="AA136" i="3" a="1"/>
  <c r="AA136" i="3"/>
  <c r="AA137" i="3" a="1"/>
  <c r="AA137" i="3"/>
  <c r="AA138" i="3" a="1"/>
  <c r="AA138" i="3"/>
  <c r="AA139" i="3" a="1"/>
  <c r="AA139" i="3"/>
  <c r="AA140" i="3" a="1"/>
  <c r="AA140" i="3"/>
  <c r="AA141" i="3" a="1"/>
  <c r="AA141" i="3" s="1"/>
  <c r="AA142" i="3" a="1"/>
  <c r="AA142" i="3"/>
  <c r="AA143" i="3" a="1"/>
  <c r="AA143" i="3"/>
  <c r="AA144" i="3" a="1"/>
  <c r="AA144" i="3"/>
  <c r="AA145" i="3" a="1"/>
  <c r="AA145" i="3"/>
  <c r="AA146" i="3" a="1"/>
  <c r="AA146" i="3"/>
  <c r="AA147" i="3" a="1"/>
  <c r="AA147" i="3" s="1"/>
  <c r="AA148" i="3" a="1"/>
  <c r="AA148" i="3"/>
  <c r="AA149" i="3" a="1"/>
  <c r="AA149" i="3"/>
  <c r="AA150" i="3" a="1"/>
  <c r="AA150" i="3"/>
  <c r="AA151" i="3" a="1"/>
  <c r="AA151" i="3"/>
  <c r="AA152" i="3" a="1"/>
  <c r="AA152" i="3"/>
  <c r="AA153" i="3" a="1"/>
  <c r="AA153" i="3" s="1"/>
  <c r="AA154" i="3" a="1"/>
  <c r="AA154" i="3"/>
  <c r="AA155" i="3" a="1"/>
  <c r="AA155" i="3"/>
  <c r="AA156" i="3" a="1"/>
  <c r="AA156" i="3"/>
  <c r="AA157" i="3" a="1"/>
  <c r="AA157" i="3"/>
  <c r="AA158" i="3" a="1"/>
  <c r="AA158" i="3"/>
  <c r="AA159" i="3" a="1"/>
  <c r="AA159" i="3" s="1"/>
  <c r="AA160" i="3" a="1"/>
  <c r="AA160" i="3"/>
  <c r="AA161" i="3" a="1"/>
  <c r="AA161" i="3"/>
  <c r="AA162" i="3" a="1"/>
  <c r="AA162" i="3"/>
  <c r="AA163" i="3" a="1"/>
  <c r="AA163" i="3"/>
  <c r="AA164" i="3" a="1"/>
  <c r="AA164" i="3"/>
  <c r="AA165" i="3" a="1"/>
  <c r="AA165" i="3" s="1"/>
  <c r="AA166" i="3" a="1"/>
  <c r="AA166" i="3"/>
  <c r="AA167" i="3" a="1"/>
  <c r="AA167" i="3"/>
  <c r="AA168" i="3" a="1"/>
  <c r="AA168" i="3"/>
  <c r="AA169" i="3" a="1"/>
  <c r="AA169" i="3"/>
  <c r="AA170" i="3" a="1"/>
  <c r="AA170" i="3"/>
  <c r="AA171" i="3" a="1"/>
  <c r="AA171" i="3" s="1"/>
  <c r="AA172" i="3" a="1"/>
  <c r="AA172" i="3"/>
  <c r="AA173" i="3" a="1"/>
  <c r="AA173" i="3"/>
  <c r="AA174" i="3" a="1"/>
  <c r="AA174" i="3"/>
  <c r="AA175" i="3" a="1"/>
  <c r="AA175" i="3"/>
  <c r="AA176" i="3" a="1"/>
  <c r="AA176" i="3"/>
  <c r="AA177" i="3" a="1"/>
  <c r="AA177" i="3" s="1"/>
  <c r="AA178" i="3" a="1"/>
  <c r="AA178" i="3"/>
  <c r="AA179" i="3" a="1"/>
  <c r="AA179" i="3"/>
  <c r="AA180" i="3" a="1"/>
  <c r="AA180" i="3"/>
  <c r="AA181" i="3" a="1"/>
  <c r="AA181" i="3"/>
  <c r="AA182" i="3" a="1"/>
  <c r="AA182" i="3"/>
  <c r="AA183" i="3" a="1"/>
  <c r="AA183" i="3" s="1"/>
  <c r="AA184" i="3" a="1"/>
  <c r="AA184" i="3"/>
  <c r="AA185" i="3" a="1"/>
  <c r="AA185" i="3"/>
  <c r="AA186" i="3" a="1"/>
  <c r="AA186" i="3"/>
  <c r="AA187" i="3" a="1"/>
  <c r="AA187" i="3"/>
  <c r="AA188" i="3" a="1"/>
  <c r="AA188" i="3"/>
  <c r="AA189" i="3" a="1"/>
  <c r="AA189" i="3" s="1"/>
  <c r="AA190" i="3" a="1"/>
  <c r="AA190" i="3"/>
  <c r="AA191" i="3" a="1"/>
  <c r="AA191" i="3"/>
  <c r="AA192" i="3" a="1"/>
  <c r="AA192" i="3"/>
  <c r="AA193" i="3" a="1"/>
  <c r="AA193" i="3"/>
  <c r="AA194" i="3" a="1"/>
  <c r="AA194" i="3"/>
  <c r="AA195" i="3" a="1"/>
  <c r="AA195" i="3" s="1"/>
  <c r="AA196" i="3" a="1"/>
  <c r="AA196" i="3"/>
  <c r="AA197" i="3" a="1"/>
  <c r="AA197" i="3"/>
  <c r="AA198" i="3" a="1"/>
  <c r="AA198" i="3"/>
  <c r="AA199" i="3" a="1"/>
  <c r="AA199" i="3"/>
  <c r="AA200" i="3" a="1"/>
  <c r="AA200" i="3"/>
  <c r="AA201" i="3" a="1"/>
  <c r="AA201" i="3" s="1"/>
  <c r="AA202" i="3" a="1"/>
  <c r="AA202" i="3"/>
  <c r="AA203" i="3" a="1"/>
  <c r="AA203" i="3"/>
  <c r="AA204" i="3" a="1"/>
  <c r="AA204" i="3"/>
  <c r="AA205" i="3" a="1"/>
  <c r="AA205" i="3"/>
  <c r="AA206" i="3" a="1"/>
  <c r="AA206" i="3"/>
  <c r="AA207" i="3" a="1"/>
  <c r="AA207" i="3" s="1"/>
  <c r="AA208" i="3" a="1"/>
  <c r="AA208" i="3"/>
  <c r="AA209" i="3" a="1"/>
  <c r="AA209" i="3"/>
  <c r="AA210" i="3" a="1"/>
  <c r="AA210" i="3"/>
  <c r="AA211" i="3" a="1"/>
  <c r="AA211" i="3"/>
  <c r="AA212" i="3" a="1"/>
  <c r="AA212" i="3"/>
  <c r="AA213" i="3" a="1"/>
  <c r="AA213" i="3" s="1"/>
  <c r="AA214" i="3" a="1"/>
  <c r="AA214" i="3"/>
  <c r="AA215" i="3" a="1"/>
  <c r="AA215" i="3"/>
  <c r="AA216" i="3" a="1"/>
  <c r="AA216" i="3"/>
  <c r="AA217" i="3" a="1"/>
  <c r="AA217" i="3"/>
  <c r="AA218" i="3" a="1"/>
  <c r="AA218" i="3"/>
  <c r="AA219" i="3" a="1"/>
  <c r="AA219" i="3" s="1"/>
  <c r="AA220" i="3" a="1"/>
  <c r="AA220" i="3"/>
  <c r="AA221" i="3" a="1"/>
  <c r="AA221" i="3"/>
  <c r="AA222" i="3" a="1"/>
  <c r="AA222" i="3"/>
  <c r="AA223" i="3" a="1"/>
  <c r="AA223" i="3"/>
  <c r="AA224" i="3" a="1"/>
  <c r="AA224" i="3"/>
  <c r="AA225" i="3" a="1"/>
  <c r="AA225" i="3" s="1"/>
  <c r="AA226" i="3" a="1"/>
  <c r="AA226" i="3"/>
  <c r="AA227" i="3" a="1"/>
  <c r="AA227" i="3"/>
  <c r="AA228" i="3" a="1"/>
  <c r="AA228" i="3"/>
  <c r="AA229" i="3" a="1"/>
  <c r="AA229" i="3"/>
  <c r="AA230" i="3" a="1"/>
  <c r="AA230" i="3"/>
  <c r="AA231" i="3" a="1"/>
  <c r="AA231" i="3" s="1"/>
  <c r="AA232" i="3" a="1"/>
  <c r="AA232" i="3"/>
  <c r="AA233" i="3" a="1"/>
  <c r="AA233" i="3"/>
  <c r="AA234" i="3" a="1"/>
  <c r="AA234" i="3"/>
  <c r="AA235" i="3" a="1"/>
  <c r="AA235" i="3"/>
  <c r="AA236" i="3" a="1"/>
  <c r="AA236" i="3"/>
  <c r="AA237" i="3" a="1"/>
  <c r="AA237" i="3" s="1"/>
  <c r="AA238" i="3" a="1"/>
  <c r="AA238" i="3"/>
  <c r="AA239" i="3" a="1"/>
  <c r="AA239" i="3"/>
  <c r="AA240" i="3" a="1"/>
  <c r="AA240" i="3"/>
  <c r="AA241" i="3" a="1"/>
  <c r="AA241" i="3"/>
  <c r="AA242" i="3" a="1"/>
  <c r="AA242" i="3"/>
  <c r="AA243" i="3" a="1"/>
  <c r="AA243" i="3" s="1"/>
  <c r="AA244" i="3" a="1"/>
  <c r="AA244" i="3"/>
  <c r="AA245" i="3" a="1"/>
  <c r="AA245" i="3"/>
  <c r="AA246" i="3" a="1"/>
  <c r="AA246" i="3"/>
  <c r="AA247" i="3" a="1"/>
  <c r="AA247" i="3"/>
  <c r="AA248" i="3" a="1"/>
  <c r="AA248" i="3"/>
  <c r="AA249" i="3" a="1"/>
  <c r="AA249" i="3" s="1"/>
  <c r="AA250" i="3" a="1"/>
  <c r="AA250" i="3"/>
  <c r="AA251" i="3" a="1"/>
  <c r="AA251" i="3"/>
  <c r="AA252" i="3" a="1"/>
  <c r="AA252" i="3"/>
  <c r="AA253" i="3" a="1"/>
  <c r="AA253" i="3"/>
  <c r="AA254" i="3" a="1"/>
  <c r="AA254" i="3"/>
  <c r="AA255" i="3" a="1"/>
  <c r="AA255" i="3" s="1"/>
  <c r="AA256" i="3" a="1"/>
  <c r="AA256" i="3"/>
  <c r="AA257" i="3" a="1"/>
  <c r="AA257" i="3"/>
  <c r="AA258" i="3" a="1"/>
  <c r="AA258" i="3"/>
  <c r="AA259" i="3" a="1"/>
  <c r="AA259" i="3"/>
  <c r="AA260" i="3" a="1"/>
  <c r="AA260" i="3"/>
  <c r="AA261" i="3" a="1"/>
  <c r="AA261" i="3" s="1"/>
  <c r="AA262" i="3" a="1"/>
  <c r="AA262" i="3"/>
  <c r="AA263" i="3" a="1"/>
  <c r="AA263" i="3"/>
  <c r="AA264" i="3" a="1"/>
  <c r="AA264" i="3"/>
  <c r="AA265" i="3" a="1"/>
  <c r="AA265" i="3"/>
  <c r="AA266" i="3" a="1"/>
  <c r="AA266" i="3"/>
  <c r="AA267" i="3" a="1"/>
  <c r="AA267" i="3" s="1"/>
  <c r="AA268" i="3" a="1"/>
  <c r="AA268" i="3"/>
  <c r="AA269" i="3" a="1"/>
  <c r="AA269" i="3"/>
  <c r="AA270" i="3" a="1"/>
  <c r="AA270" i="3"/>
  <c r="AA271" i="3" a="1"/>
  <c r="AA271" i="3"/>
  <c r="AA272" i="3" a="1"/>
  <c r="AA272" i="3"/>
  <c r="AA273" i="3" a="1"/>
  <c r="AA273" i="3" s="1"/>
  <c r="AA274" i="3" a="1"/>
  <c r="AA274" i="3"/>
  <c r="AA275" i="3" a="1"/>
  <c r="AA275" i="3"/>
  <c r="AA276" i="3" a="1"/>
  <c r="AA276" i="3"/>
  <c r="AA277" i="3" a="1"/>
  <c r="AA277" i="3"/>
  <c r="AA278" i="3" a="1"/>
  <c r="AA278" i="3"/>
  <c r="AA279" i="3" a="1"/>
  <c r="AA279" i="3" s="1"/>
  <c r="AA280" i="3" a="1"/>
  <c r="AA280" i="3"/>
  <c r="AA281" i="3" a="1"/>
  <c r="AA281" i="3"/>
  <c r="AA282" i="3" a="1"/>
  <c r="AA282" i="3"/>
  <c r="AA283" i="3" a="1"/>
  <c r="AA283" i="3"/>
  <c r="AA284" i="3" a="1"/>
  <c r="AA284" i="3"/>
  <c r="AA285" i="3" a="1"/>
  <c r="AA285" i="3" s="1"/>
  <c r="AA286" i="3" a="1"/>
  <c r="AA286" i="3"/>
  <c r="AA287" i="3" a="1"/>
  <c r="AA287" i="3"/>
  <c r="AA288" i="3" a="1"/>
  <c r="AA288" i="3"/>
  <c r="AA289" i="3" a="1"/>
  <c r="AA289" i="3"/>
  <c r="AA290" i="3" a="1"/>
  <c r="AA290" i="3"/>
  <c r="AA291" i="3" a="1"/>
  <c r="AA291" i="3" s="1"/>
  <c r="AA292" i="3" a="1"/>
  <c r="AA292" i="3"/>
  <c r="AA293" i="3" a="1"/>
  <c r="AA293" i="3"/>
  <c r="AA294" i="3" a="1"/>
  <c r="AA294" i="3"/>
  <c r="AA295" i="3" a="1"/>
  <c r="AA295" i="3"/>
  <c r="AA296" i="3" a="1"/>
  <c r="AA296" i="3"/>
  <c r="AA297" i="3" a="1"/>
  <c r="AA297" i="3" s="1"/>
  <c r="AA298" i="3" a="1"/>
  <c r="AA298" i="3"/>
  <c r="AA299" i="3" a="1"/>
  <c r="AA299" i="3"/>
  <c r="AA300" i="3" a="1"/>
  <c r="AA300" i="3"/>
  <c r="AA301" i="3" a="1"/>
  <c r="AA301" i="3"/>
  <c r="AA302" i="3" a="1"/>
  <c r="AA302" i="3"/>
  <c r="AA303" i="3" a="1"/>
  <c r="AA303" i="3" s="1"/>
  <c r="AA304" i="3" a="1"/>
  <c r="AA304" i="3"/>
  <c r="AA305" i="3" a="1"/>
  <c r="AA305" i="3"/>
  <c r="AA306" i="3" a="1"/>
  <c r="AA306" i="3"/>
  <c r="AA307" i="3" a="1"/>
  <c r="AA307" i="3"/>
  <c r="AA308" i="3" a="1"/>
  <c r="AA308" i="3"/>
  <c r="AA309" i="3" a="1"/>
  <c r="AA309" i="3" s="1"/>
  <c r="AA310" i="3" a="1"/>
  <c r="AA310" i="3"/>
  <c r="AA311" i="3" a="1"/>
  <c r="AA311" i="3"/>
  <c r="AA312" i="3" a="1"/>
  <c r="AA312" i="3"/>
  <c r="AA313" i="3" a="1"/>
  <c r="AA313" i="3"/>
  <c r="AA314" i="3" a="1"/>
  <c r="AA314" i="3"/>
  <c r="AA315" i="3" a="1"/>
  <c r="AA315" i="3" s="1"/>
  <c r="AA316" i="3" a="1"/>
  <c r="AA316" i="3"/>
  <c r="AA317" i="3" a="1"/>
  <c r="AA317" i="3"/>
  <c r="AA318" i="3" a="1"/>
  <c r="AA318" i="3"/>
  <c r="AA319" i="3" a="1"/>
  <c r="AA319" i="3"/>
  <c r="AA320" i="3" a="1"/>
  <c r="AA320" i="3"/>
  <c r="AA321" i="3" a="1"/>
  <c r="AA321" i="3" s="1"/>
  <c r="AA322" i="3" a="1"/>
  <c r="AA322" i="3"/>
  <c r="AA323" i="3" a="1"/>
  <c r="AA323" i="3"/>
  <c r="AA2" i="3" a="1"/>
  <c r="AA2" i="3"/>
  <c r="Y3" i="3"/>
  <c r="Y4" i="3"/>
  <c r="Y5" i="3"/>
  <c r="Y6" i="3"/>
  <c r="Y7" i="3"/>
  <c r="Y8" i="3"/>
  <c r="Y9" i="3"/>
  <c r="Y10" i="3"/>
  <c r="Y11" i="3"/>
  <c r="Y12" i="3"/>
  <c r="Y13" i="3"/>
  <c r="Y14" i="3"/>
  <c r="Y15" i="3"/>
  <c r="Y16" i="3"/>
  <c r="Y17" i="3"/>
  <c r="Y18" i="3"/>
  <c r="Y19" i="3"/>
  <c r="Y20" i="3"/>
  <c r="Y21" i="3"/>
  <c r="Y22" i="3"/>
  <c r="Y23" i="3"/>
  <c r="Y24" i="3"/>
  <c r="Y25" i="3"/>
  <c r="Y26" i="3"/>
  <c r="Y27" i="3"/>
  <c r="Y28" i="3"/>
  <c r="Y29" i="3"/>
  <c r="Y30" i="3"/>
  <c r="Y31" i="3"/>
  <c r="Y32" i="3"/>
  <c r="Y33" i="3"/>
  <c r="Y34" i="3"/>
  <c r="Y35" i="3"/>
  <c r="Y36" i="3"/>
  <c r="Y37" i="3"/>
  <c r="Y38" i="3"/>
  <c r="Y39" i="3"/>
  <c r="Y40" i="3"/>
  <c r="Y41" i="3"/>
  <c r="Y42" i="3"/>
  <c r="Y43" i="3"/>
  <c r="Y44" i="3"/>
  <c r="Y45" i="3"/>
  <c r="Y46" i="3"/>
  <c r="Y47" i="3"/>
  <c r="Y48" i="3"/>
  <c r="Y49" i="3"/>
  <c r="Y50" i="3"/>
  <c r="Y51" i="3"/>
  <c r="Y52" i="3"/>
  <c r="Y53" i="3"/>
  <c r="Y54" i="3"/>
  <c r="Y55" i="3"/>
  <c r="Y56" i="3"/>
  <c r="Y57" i="3"/>
  <c r="Y58" i="3"/>
  <c r="Y59" i="3"/>
  <c r="Y60" i="3"/>
  <c r="Y61" i="3"/>
  <c r="Y62" i="3"/>
  <c r="Y63" i="3"/>
  <c r="Y64" i="3"/>
  <c r="Y65" i="3"/>
  <c r="Y66" i="3"/>
  <c r="Y67" i="3"/>
  <c r="Y68" i="3"/>
  <c r="Y69" i="3"/>
  <c r="Y70" i="3"/>
  <c r="Y71" i="3"/>
  <c r="Y72" i="3"/>
  <c r="Y73" i="3"/>
  <c r="Y74" i="3"/>
  <c r="Y75" i="3"/>
  <c r="Y76" i="3"/>
  <c r="Y77" i="3"/>
  <c r="Y78" i="3"/>
  <c r="Y79" i="3"/>
  <c r="Y80" i="3"/>
  <c r="Y81" i="3"/>
  <c r="Y82" i="3"/>
  <c r="Y83" i="3"/>
  <c r="Y84" i="3"/>
  <c r="Y85" i="3"/>
  <c r="Y86" i="3"/>
  <c r="Y87" i="3"/>
  <c r="Y88" i="3"/>
  <c r="Y89" i="3"/>
  <c r="Y90" i="3"/>
  <c r="Y91" i="3"/>
  <c r="Y92" i="3"/>
  <c r="Y93" i="3"/>
  <c r="Y94" i="3"/>
  <c r="Y95" i="3"/>
  <c r="Y96" i="3"/>
  <c r="Y97" i="3"/>
  <c r="Y98" i="3"/>
  <c r="Y99" i="3"/>
  <c r="Y100" i="3"/>
  <c r="Y101" i="3"/>
  <c r="Y102" i="3"/>
  <c r="Y103" i="3"/>
  <c r="Y104" i="3"/>
  <c r="Y105" i="3"/>
  <c r="Y106" i="3"/>
  <c r="Y107" i="3"/>
  <c r="Y108" i="3"/>
  <c r="Y109" i="3"/>
  <c r="Y110" i="3"/>
  <c r="Y111" i="3"/>
  <c r="Y112" i="3"/>
  <c r="Y113" i="3"/>
  <c r="Y114" i="3"/>
  <c r="Y115" i="3"/>
  <c r="Y116" i="3"/>
  <c r="Y117" i="3"/>
  <c r="Y118" i="3"/>
  <c r="Y119" i="3"/>
  <c r="Y120" i="3"/>
  <c r="Y121" i="3"/>
  <c r="Y122" i="3"/>
  <c r="Y123" i="3"/>
  <c r="Y124" i="3"/>
  <c r="Y125" i="3"/>
  <c r="Y126" i="3"/>
  <c r="Y127" i="3"/>
  <c r="Y128" i="3"/>
  <c r="Y129" i="3"/>
  <c r="Y130" i="3"/>
  <c r="Y131" i="3"/>
  <c r="Y132" i="3"/>
  <c r="Y133" i="3"/>
  <c r="Y134" i="3"/>
  <c r="Y135" i="3"/>
  <c r="Y136" i="3"/>
  <c r="Y137" i="3"/>
  <c r="Y138" i="3"/>
  <c r="Y139" i="3"/>
  <c r="Y140" i="3"/>
  <c r="Y141" i="3"/>
  <c r="Y142" i="3"/>
  <c r="Y143" i="3"/>
  <c r="Y144" i="3"/>
  <c r="Y145" i="3"/>
  <c r="Y146" i="3"/>
  <c r="Y147" i="3"/>
  <c r="Y148" i="3"/>
  <c r="Y149" i="3"/>
  <c r="Y150" i="3"/>
  <c r="Y151" i="3"/>
  <c r="Y152" i="3"/>
  <c r="Y153" i="3"/>
  <c r="Y154" i="3"/>
  <c r="Y155" i="3"/>
  <c r="Y156" i="3"/>
  <c r="Y157" i="3"/>
  <c r="Y158" i="3"/>
  <c r="Y159" i="3"/>
  <c r="Y160" i="3"/>
  <c r="Y161" i="3"/>
  <c r="Y162" i="3"/>
  <c r="Y163" i="3"/>
  <c r="Y164" i="3"/>
  <c r="Y165" i="3"/>
  <c r="Y166" i="3"/>
  <c r="Y167" i="3"/>
  <c r="Y168" i="3"/>
  <c r="Y169" i="3"/>
  <c r="Y170" i="3"/>
  <c r="Y171" i="3"/>
  <c r="Y172" i="3"/>
  <c r="Y173" i="3"/>
  <c r="Y174" i="3"/>
  <c r="Y175" i="3"/>
  <c r="Y176" i="3"/>
  <c r="Y177" i="3"/>
  <c r="Y178" i="3"/>
  <c r="Y179" i="3"/>
  <c r="Y180" i="3"/>
  <c r="Y181" i="3"/>
  <c r="Y182" i="3"/>
  <c r="Y183" i="3"/>
  <c r="Y184" i="3"/>
  <c r="Y185" i="3"/>
  <c r="Y186" i="3"/>
  <c r="Y187" i="3"/>
  <c r="Y188" i="3"/>
  <c r="Y189" i="3"/>
  <c r="Y190" i="3"/>
  <c r="Y191" i="3"/>
  <c r="Y192" i="3"/>
  <c r="Y193" i="3"/>
  <c r="Y194" i="3"/>
  <c r="Y195" i="3"/>
  <c r="Y196" i="3"/>
  <c r="Y197" i="3"/>
  <c r="Y198" i="3"/>
  <c r="Y199" i="3"/>
  <c r="Y200" i="3"/>
  <c r="Y201" i="3"/>
  <c r="Y202" i="3"/>
  <c r="Y203" i="3"/>
  <c r="Y204" i="3"/>
  <c r="Y205" i="3"/>
  <c r="Y206" i="3"/>
  <c r="Y207" i="3"/>
  <c r="Y208" i="3"/>
  <c r="Y209" i="3"/>
  <c r="Y210" i="3"/>
  <c r="Y211" i="3"/>
  <c r="Y212" i="3"/>
  <c r="Y213" i="3"/>
  <c r="Y214" i="3"/>
  <c r="Y215" i="3"/>
  <c r="Y216" i="3"/>
  <c r="Y217" i="3"/>
  <c r="Y218" i="3"/>
  <c r="Y219" i="3"/>
  <c r="Y220" i="3"/>
  <c r="Y221" i="3"/>
  <c r="Y222" i="3"/>
  <c r="Y223" i="3"/>
  <c r="Y224" i="3"/>
  <c r="Y225" i="3"/>
  <c r="Y226" i="3"/>
  <c r="Y227" i="3"/>
  <c r="Y228" i="3"/>
  <c r="Y229" i="3"/>
  <c r="Y230" i="3"/>
  <c r="Y231" i="3"/>
  <c r="Y232" i="3"/>
  <c r="Y233" i="3"/>
  <c r="Y234" i="3"/>
  <c r="Y235" i="3"/>
  <c r="Y236" i="3"/>
  <c r="Y237" i="3"/>
  <c r="Y238" i="3"/>
  <c r="Y239" i="3"/>
  <c r="Y240" i="3"/>
  <c r="Y241" i="3"/>
  <c r="Y242" i="3"/>
  <c r="Y243" i="3"/>
  <c r="Y244" i="3"/>
  <c r="Y245" i="3"/>
  <c r="Y246" i="3"/>
  <c r="Y247" i="3"/>
  <c r="Y248" i="3"/>
  <c r="Y249" i="3"/>
  <c r="Y250" i="3"/>
  <c r="Y251" i="3"/>
  <c r="Y252" i="3"/>
  <c r="Y253" i="3"/>
  <c r="Y254" i="3"/>
  <c r="Y255" i="3"/>
  <c r="Y256" i="3"/>
  <c r="Y257" i="3"/>
  <c r="Y258" i="3"/>
  <c r="Y259" i="3"/>
  <c r="Y260" i="3"/>
  <c r="Y261" i="3"/>
  <c r="Y262" i="3"/>
  <c r="Y263" i="3"/>
  <c r="Y264" i="3"/>
  <c r="Y265" i="3"/>
  <c r="Y266" i="3"/>
  <c r="Y267" i="3"/>
  <c r="Y268" i="3"/>
  <c r="Y269" i="3"/>
  <c r="Y270" i="3"/>
  <c r="Y271" i="3"/>
  <c r="Y272" i="3"/>
  <c r="Y273" i="3"/>
  <c r="Y274" i="3"/>
  <c r="Y275" i="3"/>
  <c r="Y276" i="3"/>
  <c r="Y277" i="3"/>
  <c r="Y278" i="3"/>
  <c r="Y279" i="3"/>
  <c r="Y280" i="3"/>
  <c r="Y281" i="3"/>
  <c r="Y282" i="3"/>
  <c r="Y283" i="3"/>
  <c r="Y284" i="3"/>
  <c r="Y285" i="3"/>
  <c r="Y286" i="3"/>
  <c r="Y287" i="3"/>
  <c r="Y288" i="3"/>
  <c r="Y289" i="3"/>
  <c r="Y290" i="3"/>
  <c r="Y291" i="3"/>
  <c r="Y292" i="3"/>
  <c r="Y293" i="3"/>
  <c r="Y294" i="3"/>
  <c r="Y295" i="3"/>
  <c r="Y296" i="3"/>
  <c r="Y297" i="3"/>
  <c r="Y298" i="3"/>
  <c r="Y299" i="3"/>
  <c r="Y300" i="3"/>
  <c r="Y301" i="3"/>
  <c r="Y302" i="3"/>
  <c r="Y303" i="3"/>
  <c r="Y304" i="3"/>
  <c r="Y305" i="3"/>
  <c r="Y306" i="3"/>
  <c r="Y307" i="3"/>
  <c r="Y308" i="3"/>
  <c r="Y309" i="3"/>
  <c r="Y310" i="3"/>
  <c r="Y311" i="3"/>
  <c r="Y312" i="3"/>
  <c r="Y313" i="3"/>
  <c r="Y314" i="3"/>
  <c r="Y315" i="3"/>
  <c r="Y316" i="3"/>
  <c r="Y317" i="3"/>
  <c r="Y318" i="3"/>
  <c r="Y319" i="3"/>
  <c r="Y320" i="3"/>
  <c r="Y321" i="3"/>
  <c r="Y322" i="3"/>
  <c r="Y323" i="3"/>
  <c r="Z3" i="3" a="1"/>
  <c r="Z3" i="3" s="1"/>
  <c r="Z4" i="3" a="1"/>
  <c r="Z4" i="3"/>
  <c r="Z5" i="3" a="1"/>
  <c r="Z5" i="3"/>
  <c r="Z6" i="3" a="1"/>
  <c r="Z6" i="3"/>
  <c r="Z7" i="3" a="1"/>
  <c r="Z7" i="3"/>
  <c r="Z8" i="3" a="1"/>
  <c r="Z8" i="3"/>
  <c r="Z9" i="3" a="1"/>
  <c r="Z9" i="3" s="1"/>
  <c r="Z10" i="3" a="1"/>
  <c r="Z10" i="3"/>
  <c r="Z11" i="3" a="1"/>
  <c r="Z11" i="3"/>
  <c r="Z12" i="3" a="1"/>
  <c r="Z12" i="3"/>
  <c r="Z13" i="3" a="1"/>
  <c r="Z13" i="3"/>
  <c r="Z14" i="3" a="1"/>
  <c r="Z14" i="3"/>
  <c r="Z15" i="3" a="1"/>
  <c r="Z15" i="3" s="1"/>
  <c r="Z16" i="3" a="1"/>
  <c r="Z16" i="3"/>
  <c r="Z17" i="3" a="1"/>
  <c r="Z17" i="3"/>
  <c r="Z18" i="3" a="1"/>
  <c r="Z18" i="3"/>
  <c r="Z19" i="3" a="1"/>
  <c r="Z19" i="3"/>
  <c r="Z20" i="3" a="1"/>
  <c r="Z20" i="3"/>
  <c r="Z21" i="3" a="1"/>
  <c r="Z21" i="3" s="1"/>
  <c r="Z22" i="3" a="1"/>
  <c r="Z22" i="3"/>
  <c r="Z23" i="3" a="1"/>
  <c r="Z23" i="3"/>
  <c r="Z24" i="3" a="1"/>
  <c r="Z24" i="3"/>
  <c r="Z25" i="3" a="1"/>
  <c r="Z25" i="3"/>
  <c r="Z26" i="3" a="1"/>
  <c r="Z26" i="3"/>
  <c r="Z27" i="3" a="1"/>
  <c r="Z27" i="3" s="1"/>
  <c r="Z28" i="3" a="1"/>
  <c r="Z28" i="3"/>
  <c r="Z29" i="3" a="1"/>
  <c r="Z29" i="3"/>
  <c r="Z30" i="3" a="1"/>
  <c r="Z30" i="3"/>
  <c r="Z31" i="3" a="1"/>
  <c r="Z31" i="3"/>
  <c r="Z32" i="3" a="1"/>
  <c r="Z32" i="3"/>
  <c r="Z33" i="3" a="1"/>
  <c r="Z33" i="3" s="1"/>
  <c r="Z34" i="3" a="1"/>
  <c r="Z34" i="3"/>
  <c r="Z35" i="3" a="1"/>
  <c r="Z35" i="3"/>
  <c r="Z36" i="3" a="1"/>
  <c r="Z36" i="3"/>
  <c r="Z37" i="3" a="1"/>
  <c r="Z37" i="3"/>
  <c r="Z38" i="3" a="1"/>
  <c r="Z38" i="3"/>
  <c r="Z39" i="3" a="1"/>
  <c r="Z39" i="3" s="1"/>
  <c r="Z40" i="3" a="1"/>
  <c r="Z40" i="3"/>
  <c r="Z41" i="3" a="1"/>
  <c r="Z41" i="3"/>
  <c r="Z42" i="3" a="1"/>
  <c r="Z42" i="3"/>
  <c r="Z43" i="3" a="1"/>
  <c r="Z43" i="3"/>
  <c r="Z44" i="3" a="1"/>
  <c r="Z44" i="3"/>
  <c r="Z45" i="3" a="1"/>
  <c r="Z45" i="3" s="1"/>
  <c r="Z46" i="3" a="1"/>
  <c r="Z46" i="3"/>
  <c r="Z47" i="3" a="1"/>
  <c r="Z47" i="3"/>
  <c r="Z48" i="3" a="1"/>
  <c r="Z48" i="3"/>
  <c r="Z49" i="3" a="1"/>
  <c r="Z49" i="3"/>
  <c r="Z50" i="3" a="1"/>
  <c r="Z50" i="3"/>
  <c r="Z51" i="3" a="1"/>
  <c r="Z51" i="3" s="1"/>
  <c r="Z52" i="3" a="1"/>
  <c r="Z52" i="3"/>
  <c r="Z53" i="3" a="1"/>
  <c r="Z53" i="3"/>
  <c r="Z54" i="3" a="1"/>
  <c r="Z54" i="3"/>
  <c r="Z55" i="3" a="1"/>
  <c r="Z55" i="3"/>
  <c r="Z56" i="3" a="1"/>
  <c r="Z56" i="3"/>
  <c r="Z57" i="3" a="1"/>
  <c r="Z57" i="3" s="1"/>
  <c r="Z58" i="3" a="1"/>
  <c r="Z58" i="3"/>
  <c r="Z59" i="3" a="1"/>
  <c r="Z59" i="3"/>
  <c r="Z60" i="3" a="1"/>
  <c r="Z60" i="3"/>
  <c r="Z61" i="3" a="1"/>
  <c r="Z61" i="3"/>
  <c r="Z62" i="3" a="1"/>
  <c r="Z62" i="3"/>
  <c r="Z63" i="3" a="1"/>
  <c r="Z63" i="3" s="1"/>
  <c r="Z64" i="3" a="1"/>
  <c r="Z64" i="3"/>
  <c r="Z65" i="3" a="1"/>
  <c r="Z65" i="3"/>
  <c r="Z66" i="3" a="1"/>
  <c r="Z66" i="3"/>
  <c r="Z67" i="3" a="1"/>
  <c r="Z67" i="3"/>
  <c r="Z68" i="3" a="1"/>
  <c r="Z68" i="3"/>
  <c r="Z69" i="3" a="1"/>
  <c r="Z69" i="3" s="1"/>
  <c r="Z70" i="3" a="1"/>
  <c r="Z70" i="3"/>
  <c r="Z71" i="3" a="1"/>
  <c r="Z71" i="3"/>
  <c r="Z72" i="3" a="1"/>
  <c r="Z72" i="3"/>
  <c r="Z73" i="3" a="1"/>
  <c r="Z73" i="3"/>
  <c r="Z74" i="3" a="1"/>
  <c r="Z74" i="3"/>
  <c r="Z75" i="3" a="1"/>
  <c r="Z75" i="3" s="1"/>
  <c r="Z76" i="3" a="1"/>
  <c r="Z76" i="3"/>
  <c r="Z77" i="3" a="1"/>
  <c r="Z77" i="3"/>
  <c r="Z78" i="3" a="1"/>
  <c r="Z78" i="3"/>
  <c r="Z79" i="3" a="1"/>
  <c r="Z79" i="3"/>
  <c r="Z80" i="3" a="1"/>
  <c r="Z80" i="3"/>
  <c r="Z81" i="3" a="1"/>
  <c r="Z81" i="3" s="1"/>
  <c r="Z82" i="3" a="1"/>
  <c r="Z82" i="3"/>
  <c r="Z83" i="3" a="1"/>
  <c r="Z83" i="3"/>
  <c r="Z84" i="3" a="1"/>
  <c r="Z84" i="3"/>
  <c r="Z85" i="3" a="1"/>
  <c r="Z85" i="3"/>
  <c r="Z86" i="3" a="1"/>
  <c r="Z86" i="3"/>
  <c r="Z87" i="3" a="1"/>
  <c r="Z87" i="3" s="1"/>
  <c r="Z88" i="3" a="1"/>
  <c r="Z88" i="3"/>
  <c r="Z89" i="3" a="1"/>
  <c r="Z89" i="3"/>
  <c r="Z90" i="3" a="1"/>
  <c r="Z90" i="3"/>
  <c r="Z91" i="3" a="1"/>
  <c r="Z91" i="3"/>
  <c r="Z92" i="3" a="1"/>
  <c r="Z92" i="3"/>
  <c r="Z93" i="3" a="1"/>
  <c r="Z93" i="3" s="1"/>
  <c r="Z94" i="3" a="1"/>
  <c r="Z94" i="3"/>
  <c r="Z95" i="3" a="1"/>
  <c r="Z95" i="3"/>
  <c r="Z96" i="3" a="1"/>
  <c r="Z96" i="3"/>
  <c r="Z97" i="3" a="1"/>
  <c r="Z97" i="3"/>
  <c r="Z98" i="3" a="1"/>
  <c r="Z98" i="3"/>
  <c r="Z99" i="3" a="1"/>
  <c r="Z99" i="3" s="1"/>
  <c r="Z100" i="3" a="1"/>
  <c r="Z100" i="3"/>
  <c r="Z101" i="3" a="1"/>
  <c r="Z101" i="3"/>
  <c r="Z102" i="3" a="1"/>
  <c r="Z102" i="3"/>
  <c r="Z103" i="3" a="1"/>
  <c r="Z103" i="3"/>
  <c r="Z104" i="3" a="1"/>
  <c r="Z104" i="3"/>
  <c r="Z105" i="3" a="1"/>
  <c r="Z105" i="3" s="1"/>
  <c r="Z106" i="3" a="1"/>
  <c r="Z106" i="3"/>
  <c r="Z107" i="3" a="1"/>
  <c r="Z107" i="3"/>
  <c r="Z108" i="3" a="1"/>
  <c r="Z108" i="3"/>
  <c r="Z109" i="3" a="1"/>
  <c r="Z109" i="3"/>
  <c r="Z110" i="3" a="1"/>
  <c r="Z110" i="3"/>
  <c r="Z111" i="3" a="1"/>
  <c r="Z111" i="3" s="1"/>
  <c r="Z112" i="3" a="1"/>
  <c r="Z112" i="3"/>
  <c r="Z113" i="3" a="1"/>
  <c r="Z113" i="3"/>
  <c r="Z114" i="3" a="1"/>
  <c r="Z114" i="3"/>
  <c r="Z115" i="3" a="1"/>
  <c r="Z115" i="3"/>
  <c r="Z116" i="3" a="1"/>
  <c r="Z116" i="3"/>
  <c r="Z117" i="3" a="1"/>
  <c r="Z117" i="3" s="1"/>
  <c r="Z118" i="3" a="1"/>
  <c r="Z118" i="3"/>
  <c r="Z119" i="3" a="1"/>
  <c r="Z119" i="3"/>
  <c r="Z120" i="3" a="1"/>
  <c r="Z120" i="3"/>
  <c r="Z121" i="3" a="1"/>
  <c r="Z121" i="3"/>
  <c r="Z122" i="3" a="1"/>
  <c r="Z122" i="3"/>
  <c r="Z123" i="3" a="1"/>
  <c r="Z123" i="3" s="1"/>
  <c r="Z124" i="3" a="1"/>
  <c r="Z124" i="3"/>
  <c r="Z125" i="3" a="1"/>
  <c r="Z125" i="3"/>
  <c r="Z126" i="3" a="1"/>
  <c r="Z126" i="3"/>
  <c r="Z127" i="3" a="1"/>
  <c r="Z127" i="3"/>
  <c r="Z128" i="3" a="1"/>
  <c r="Z128" i="3"/>
  <c r="Z129" i="3" a="1"/>
  <c r="Z129" i="3" s="1"/>
  <c r="Z130" i="3" a="1"/>
  <c r="Z130" i="3"/>
  <c r="Z131" i="3" a="1"/>
  <c r="Z131" i="3"/>
  <c r="Z132" i="3" a="1"/>
  <c r="Z132" i="3"/>
  <c r="Z133" i="3" a="1"/>
  <c r="Z133" i="3"/>
  <c r="Z134" i="3" a="1"/>
  <c r="Z134" i="3"/>
  <c r="Z135" i="3" a="1"/>
  <c r="Z135" i="3" s="1"/>
  <c r="Z136" i="3" a="1"/>
  <c r="Z136" i="3"/>
  <c r="Z137" i="3" a="1"/>
  <c r="Z137" i="3"/>
  <c r="Z138" i="3" a="1"/>
  <c r="Z138" i="3"/>
  <c r="Z139" i="3" a="1"/>
  <c r="Z139" i="3"/>
  <c r="Z140" i="3" a="1"/>
  <c r="Z140" i="3"/>
  <c r="Z141" i="3" a="1"/>
  <c r="Z141" i="3" s="1"/>
  <c r="Z142" i="3" a="1"/>
  <c r="Z142" i="3"/>
  <c r="Z143" i="3" a="1"/>
  <c r="Z143" i="3"/>
  <c r="Z144" i="3" a="1"/>
  <c r="Z144" i="3"/>
  <c r="Z145" i="3" a="1"/>
  <c r="Z145" i="3"/>
  <c r="Z146" i="3" a="1"/>
  <c r="Z146" i="3"/>
  <c r="Z147" i="3" a="1"/>
  <c r="Z147" i="3" s="1"/>
  <c r="Z148" i="3" a="1"/>
  <c r="Z148" i="3"/>
  <c r="Z149" i="3" a="1"/>
  <c r="Z149" i="3"/>
  <c r="Z150" i="3" a="1"/>
  <c r="Z150" i="3"/>
  <c r="Z151" i="3" a="1"/>
  <c r="Z151" i="3"/>
  <c r="Z152" i="3" a="1"/>
  <c r="Z152" i="3"/>
  <c r="Z153" i="3" a="1"/>
  <c r="Z153" i="3" s="1"/>
  <c r="Z154" i="3" a="1"/>
  <c r="Z154" i="3"/>
  <c r="Z155" i="3" a="1"/>
  <c r="Z155" i="3"/>
  <c r="Z156" i="3" a="1"/>
  <c r="Z156" i="3"/>
  <c r="Z157" i="3" a="1"/>
  <c r="Z157" i="3"/>
  <c r="Z158" i="3" a="1"/>
  <c r="Z158" i="3"/>
  <c r="Z159" i="3" a="1"/>
  <c r="Z159" i="3" s="1"/>
  <c r="Z160" i="3" a="1"/>
  <c r="Z160" i="3"/>
  <c r="Z161" i="3" a="1"/>
  <c r="Z161" i="3"/>
  <c r="Z162" i="3" a="1"/>
  <c r="Z162" i="3"/>
  <c r="Z163" i="3" a="1"/>
  <c r="Z163" i="3"/>
  <c r="Z164" i="3" a="1"/>
  <c r="Z164" i="3"/>
  <c r="Z165" i="3" a="1"/>
  <c r="Z165" i="3" s="1"/>
  <c r="Z166" i="3" a="1"/>
  <c r="Z166" i="3"/>
  <c r="Z167" i="3" a="1"/>
  <c r="Z167" i="3"/>
  <c r="Z168" i="3" a="1"/>
  <c r="Z168" i="3"/>
  <c r="Z169" i="3" a="1"/>
  <c r="Z169" i="3"/>
  <c r="Z170" i="3" a="1"/>
  <c r="Z170" i="3"/>
  <c r="Z171" i="3" a="1"/>
  <c r="Z171" i="3" s="1"/>
  <c r="Z172" i="3" a="1"/>
  <c r="Z172" i="3"/>
  <c r="Z173" i="3" a="1"/>
  <c r="Z173" i="3"/>
  <c r="Z174" i="3" a="1"/>
  <c r="Z174" i="3"/>
  <c r="Z175" i="3" a="1"/>
  <c r="Z175" i="3"/>
  <c r="Z176" i="3" a="1"/>
  <c r="Z176" i="3"/>
  <c r="Z177" i="3" a="1"/>
  <c r="Z177" i="3" s="1"/>
  <c r="Z178" i="3" a="1"/>
  <c r="Z178" i="3"/>
  <c r="Z179" i="3" a="1"/>
  <c r="Z179" i="3"/>
  <c r="Z180" i="3" a="1"/>
  <c r="Z180" i="3"/>
  <c r="Z181" i="3" a="1"/>
  <c r="Z181" i="3"/>
  <c r="Z182" i="3" a="1"/>
  <c r="Z182" i="3"/>
  <c r="Z183" i="3" a="1"/>
  <c r="Z183" i="3" s="1"/>
  <c r="Z184" i="3" a="1"/>
  <c r="Z184" i="3"/>
  <c r="Z185" i="3" a="1"/>
  <c r="Z185" i="3"/>
  <c r="Z186" i="3" a="1"/>
  <c r="Z186" i="3"/>
  <c r="Z187" i="3" a="1"/>
  <c r="Z187" i="3"/>
  <c r="Z188" i="3" a="1"/>
  <c r="Z188" i="3"/>
  <c r="Z189" i="3" a="1"/>
  <c r="Z189" i="3" s="1"/>
  <c r="Z190" i="3" a="1"/>
  <c r="Z190" i="3"/>
  <c r="Z191" i="3" a="1"/>
  <c r="Z191" i="3"/>
  <c r="Z192" i="3" a="1"/>
  <c r="Z192" i="3"/>
  <c r="Z193" i="3" a="1"/>
  <c r="Z193" i="3"/>
  <c r="Z194" i="3" a="1"/>
  <c r="Z194" i="3"/>
  <c r="Z195" i="3" a="1"/>
  <c r="Z195" i="3" s="1"/>
  <c r="Z196" i="3" a="1"/>
  <c r="Z196" i="3"/>
  <c r="Z197" i="3" a="1"/>
  <c r="Z197" i="3"/>
  <c r="Z198" i="3" a="1"/>
  <c r="Z198" i="3"/>
  <c r="Z199" i="3" a="1"/>
  <c r="Z199" i="3"/>
  <c r="Z200" i="3" a="1"/>
  <c r="Z200" i="3"/>
  <c r="Z201" i="3" a="1"/>
  <c r="Z201" i="3" s="1"/>
  <c r="Z202" i="3" a="1"/>
  <c r="Z202" i="3"/>
  <c r="Z203" i="3" a="1"/>
  <c r="Z203" i="3"/>
  <c r="Z204" i="3" a="1"/>
  <c r="Z204" i="3"/>
  <c r="Z205" i="3" a="1"/>
  <c r="Z205" i="3"/>
  <c r="Z206" i="3" a="1"/>
  <c r="Z206" i="3"/>
  <c r="Z207" i="3" a="1"/>
  <c r="Z207" i="3" s="1"/>
  <c r="Z208" i="3" a="1"/>
  <c r="Z208" i="3"/>
  <c r="Z209" i="3" a="1"/>
  <c r="Z209" i="3"/>
  <c r="Z210" i="3" a="1"/>
  <c r="Z210" i="3"/>
  <c r="Z211" i="3" a="1"/>
  <c r="Z211" i="3"/>
  <c r="Z212" i="3" a="1"/>
  <c r="Z212" i="3"/>
  <c r="Z213" i="3" a="1"/>
  <c r="Z213" i="3" s="1"/>
  <c r="Z214" i="3" a="1"/>
  <c r="Z214" i="3"/>
  <c r="Z215" i="3" a="1"/>
  <c r="Z215" i="3"/>
  <c r="Z216" i="3" a="1"/>
  <c r="Z216" i="3"/>
  <c r="Z217" i="3" a="1"/>
  <c r="Z217" i="3"/>
  <c r="Z218" i="3" a="1"/>
  <c r="Z218" i="3"/>
  <c r="Z219" i="3" a="1"/>
  <c r="Z219" i="3" s="1"/>
  <c r="Z220" i="3" a="1"/>
  <c r="Z220" i="3"/>
  <c r="Z221" i="3" a="1"/>
  <c r="Z221" i="3"/>
  <c r="Z222" i="3" a="1"/>
  <c r="Z222" i="3"/>
  <c r="Z223" i="3" a="1"/>
  <c r="Z223" i="3"/>
  <c r="Z224" i="3" a="1"/>
  <c r="Z224" i="3"/>
  <c r="Z225" i="3" a="1"/>
  <c r="Z225" i="3" s="1"/>
  <c r="Z226" i="3" a="1"/>
  <c r="Z226" i="3"/>
  <c r="Z227" i="3" a="1"/>
  <c r="Z227" i="3"/>
  <c r="Z228" i="3" a="1"/>
  <c r="Z228" i="3"/>
  <c r="Z229" i="3" a="1"/>
  <c r="Z229" i="3"/>
  <c r="Z230" i="3" a="1"/>
  <c r="Z230" i="3"/>
  <c r="Z231" i="3" a="1"/>
  <c r="Z231" i="3" s="1"/>
  <c r="Z232" i="3" a="1"/>
  <c r="Z232" i="3"/>
  <c r="Z233" i="3" a="1"/>
  <c r="Z233" i="3"/>
  <c r="Z234" i="3" a="1"/>
  <c r="Z234" i="3"/>
  <c r="Z235" i="3" a="1"/>
  <c r="Z235" i="3"/>
  <c r="Z236" i="3" a="1"/>
  <c r="Z236" i="3"/>
  <c r="Z237" i="3" a="1"/>
  <c r="Z237" i="3" s="1"/>
  <c r="Z238" i="3" a="1"/>
  <c r="Z238" i="3"/>
  <c r="Z239" i="3" a="1"/>
  <c r="Z239" i="3"/>
  <c r="Z240" i="3" a="1"/>
  <c r="Z240" i="3"/>
  <c r="Z241" i="3" a="1"/>
  <c r="Z241" i="3"/>
  <c r="Z242" i="3" a="1"/>
  <c r="Z242" i="3"/>
  <c r="Z243" i="3" a="1"/>
  <c r="Z243" i="3" s="1"/>
  <c r="Z244" i="3" a="1"/>
  <c r="Z244" i="3"/>
  <c r="Z245" i="3" a="1"/>
  <c r="Z245" i="3"/>
  <c r="Z246" i="3" a="1"/>
  <c r="Z246" i="3"/>
  <c r="Z247" i="3" a="1"/>
  <c r="Z247" i="3"/>
  <c r="Z248" i="3" a="1"/>
  <c r="Z248" i="3"/>
  <c r="Z249" i="3" a="1"/>
  <c r="Z249" i="3" s="1"/>
  <c r="Z250" i="3" a="1"/>
  <c r="Z250" i="3"/>
  <c r="Z251" i="3" a="1"/>
  <c r="Z251" i="3"/>
  <c r="Z252" i="3" a="1"/>
  <c r="Z252" i="3"/>
  <c r="Z253" i="3" a="1"/>
  <c r="Z253" i="3"/>
  <c r="Z254" i="3" a="1"/>
  <c r="Z254" i="3"/>
  <c r="Z255" i="3" a="1"/>
  <c r="Z255" i="3" s="1"/>
  <c r="Z256" i="3" a="1"/>
  <c r="Z256" i="3"/>
  <c r="Z257" i="3" a="1"/>
  <c r="Z257" i="3"/>
  <c r="Z258" i="3" a="1"/>
  <c r="Z258" i="3"/>
  <c r="Z259" i="3" a="1"/>
  <c r="Z259" i="3"/>
  <c r="Z260" i="3" a="1"/>
  <c r="Z260" i="3"/>
  <c r="Z261" i="3" a="1"/>
  <c r="Z261" i="3" s="1"/>
  <c r="Z262" i="3" a="1"/>
  <c r="Z262" i="3"/>
  <c r="Z263" i="3" a="1"/>
  <c r="Z263" i="3"/>
  <c r="Z264" i="3" a="1"/>
  <c r="Z264" i="3"/>
  <c r="Z265" i="3" a="1"/>
  <c r="Z265" i="3"/>
  <c r="Z266" i="3" a="1"/>
  <c r="Z266" i="3"/>
  <c r="Z267" i="3" a="1"/>
  <c r="Z267" i="3" s="1"/>
  <c r="Z268" i="3" a="1"/>
  <c r="Z268" i="3"/>
  <c r="Z269" i="3" a="1"/>
  <c r="Z269" i="3"/>
  <c r="Z270" i="3" a="1"/>
  <c r="Z270" i="3"/>
  <c r="Z271" i="3" a="1"/>
  <c r="Z271" i="3"/>
  <c r="Z272" i="3" a="1"/>
  <c r="Z272" i="3"/>
  <c r="Z273" i="3" a="1"/>
  <c r="Z273" i="3" s="1"/>
  <c r="Z274" i="3" a="1"/>
  <c r="Z274" i="3"/>
  <c r="Z275" i="3" a="1"/>
  <c r="Z275" i="3"/>
  <c r="Z276" i="3" a="1"/>
  <c r="Z276" i="3"/>
  <c r="Z277" i="3" a="1"/>
  <c r="Z277" i="3"/>
  <c r="Z278" i="3" a="1"/>
  <c r="Z278" i="3"/>
  <c r="Z279" i="3" a="1"/>
  <c r="Z279" i="3" s="1"/>
  <c r="Z280" i="3" a="1"/>
  <c r="Z280" i="3"/>
  <c r="Z281" i="3" a="1"/>
  <c r="Z281" i="3"/>
  <c r="Z282" i="3" a="1"/>
  <c r="Z282" i="3"/>
  <c r="Z283" i="3" a="1"/>
  <c r="Z283" i="3"/>
  <c r="Z284" i="3" a="1"/>
  <c r="Z284" i="3"/>
  <c r="Z285" i="3" a="1"/>
  <c r="Z285" i="3" s="1"/>
  <c r="Z286" i="3" a="1"/>
  <c r="Z286" i="3"/>
  <c r="Z287" i="3" a="1"/>
  <c r="Z287" i="3"/>
  <c r="Z288" i="3" a="1"/>
  <c r="Z288" i="3"/>
  <c r="Z289" i="3" a="1"/>
  <c r="Z289" i="3"/>
  <c r="Z290" i="3" a="1"/>
  <c r="Z290" i="3"/>
  <c r="Z291" i="3" a="1"/>
  <c r="Z291" i="3" s="1"/>
  <c r="Z292" i="3" a="1"/>
  <c r="Z292" i="3"/>
  <c r="Z293" i="3" a="1"/>
  <c r="Z293" i="3"/>
  <c r="Z294" i="3" a="1"/>
  <c r="Z294" i="3"/>
  <c r="Z295" i="3" a="1"/>
  <c r="Z295" i="3"/>
  <c r="Z296" i="3" a="1"/>
  <c r="Z296" i="3"/>
  <c r="Z297" i="3" a="1"/>
  <c r="Z297" i="3" s="1"/>
  <c r="Z298" i="3" a="1"/>
  <c r="Z298" i="3"/>
  <c r="Z299" i="3" a="1"/>
  <c r="Z299" i="3"/>
  <c r="Z300" i="3" a="1"/>
  <c r="Z300" i="3"/>
  <c r="Z301" i="3" a="1"/>
  <c r="Z301" i="3"/>
  <c r="Z302" i="3" a="1"/>
  <c r="Z302" i="3"/>
  <c r="Z303" i="3" a="1"/>
  <c r="Z303" i="3" s="1"/>
  <c r="Z304" i="3" a="1"/>
  <c r="Z304" i="3"/>
  <c r="Z305" i="3" a="1"/>
  <c r="Z305" i="3"/>
  <c r="Z306" i="3" a="1"/>
  <c r="Z306" i="3"/>
  <c r="Z307" i="3" a="1"/>
  <c r="Z307" i="3"/>
  <c r="Z308" i="3" a="1"/>
  <c r="Z308" i="3"/>
  <c r="Z309" i="3" a="1"/>
  <c r="Z309" i="3" s="1"/>
  <c r="Z310" i="3" a="1"/>
  <c r="Z310" i="3"/>
  <c r="Z311" i="3" a="1"/>
  <c r="Z311" i="3"/>
  <c r="Z312" i="3" a="1"/>
  <c r="Z312" i="3"/>
  <c r="Z313" i="3" a="1"/>
  <c r="Z313" i="3"/>
  <c r="Z314" i="3" a="1"/>
  <c r="Z314" i="3"/>
  <c r="Z315" i="3" a="1"/>
  <c r="Z315" i="3" s="1"/>
  <c r="Z316" i="3" a="1"/>
  <c r="Z316" i="3"/>
  <c r="Z317" i="3" a="1"/>
  <c r="Z317" i="3"/>
  <c r="Z318" i="3" a="1"/>
  <c r="Z318" i="3"/>
  <c r="Z319" i="3" a="1"/>
  <c r="Z319" i="3"/>
  <c r="Z320" i="3" a="1"/>
  <c r="Z320" i="3"/>
  <c r="Z321" i="3" a="1"/>
  <c r="Z321" i="3" s="1"/>
  <c r="Z322" i="3" a="1"/>
  <c r="Z322" i="3"/>
  <c r="Z323" i="3" a="1"/>
  <c r="Z323" i="3"/>
  <c r="Z2" i="3" a="1"/>
  <c r="Z2" i="3" s="1"/>
  <c r="Y2" i="3"/>
  <c r="X3" i="3"/>
  <c r="X4" i="3"/>
  <c r="X5" i="3"/>
  <c r="X6" i="3"/>
  <c r="X7" i="3"/>
  <c r="X8" i="3"/>
  <c r="X9" i="3"/>
  <c r="X10" i="3"/>
  <c r="X11" i="3"/>
  <c r="X12" i="3"/>
  <c r="X13" i="3"/>
  <c r="X14" i="3"/>
  <c r="X15" i="3"/>
  <c r="X16" i="3"/>
  <c r="X17" i="3"/>
  <c r="X18" i="3"/>
  <c r="X19" i="3"/>
  <c r="X20" i="3"/>
  <c r="X21" i="3"/>
  <c r="X22" i="3"/>
  <c r="X23" i="3"/>
  <c r="X24" i="3"/>
  <c r="X25" i="3"/>
  <c r="X26" i="3"/>
  <c r="X27" i="3"/>
  <c r="X28" i="3"/>
  <c r="X29" i="3"/>
  <c r="X30" i="3"/>
  <c r="X31" i="3"/>
  <c r="X32" i="3"/>
  <c r="X33" i="3"/>
  <c r="X34" i="3"/>
  <c r="X35" i="3"/>
  <c r="X36" i="3"/>
  <c r="X37" i="3"/>
  <c r="X38" i="3"/>
  <c r="X39" i="3"/>
  <c r="X40" i="3"/>
  <c r="X41" i="3"/>
  <c r="X42" i="3"/>
  <c r="X43" i="3"/>
  <c r="X44" i="3"/>
  <c r="X45" i="3"/>
  <c r="X46" i="3"/>
  <c r="X47" i="3"/>
  <c r="X48" i="3"/>
  <c r="X49" i="3"/>
  <c r="X50" i="3"/>
  <c r="X51" i="3"/>
  <c r="X52" i="3"/>
  <c r="X53" i="3"/>
  <c r="X54" i="3"/>
  <c r="X55" i="3"/>
  <c r="X56" i="3"/>
  <c r="X57" i="3"/>
  <c r="X58" i="3"/>
  <c r="X59" i="3"/>
  <c r="X60" i="3"/>
  <c r="X61" i="3"/>
  <c r="X62" i="3"/>
  <c r="X63" i="3"/>
  <c r="X64" i="3"/>
  <c r="X65" i="3"/>
  <c r="X66" i="3"/>
  <c r="X67" i="3"/>
  <c r="X68" i="3"/>
  <c r="X69" i="3"/>
  <c r="X70" i="3"/>
  <c r="X71" i="3"/>
  <c r="X72" i="3"/>
  <c r="X73" i="3"/>
  <c r="X74" i="3"/>
  <c r="X75" i="3"/>
  <c r="X76" i="3"/>
  <c r="X77" i="3"/>
  <c r="X78" i="3"/>
  <c r="X79" i="3"/>
  <c r="X80" i="3"/>
  <c r="X81" i="3"/>
  <c r="X82" i="3"/>
  <c r="X83" i="3"/>
  <c r="X84" i="3"/>
  <c r="X85" i="3"/>
  <c r="X86" i="3"/>
  <c r="X87" i="3"/>
  <c r="X88" i="3"/>
  <c r="X89" i="3"/>
  <c r="X90" i="3"/>
  <c r="X91" i="3"/>
  <c r="X92" i="3"/>
  <c r="X93" i="3"/>
  <c r="X94" i="3"/>
  <c r="X95" i="3"/>
  <c r="X96" i="3"/>
  <c r="X97" i="3"/>
  <c r="X98" i="3"/>
  <c r="X99" i="3"/>
  <c r="X100" i="3"/>
  <c r="X101" i="3"/>
  <c r="X102" i="3"/>
  <c r="X103" i="3"/>
  <c r="X104" i="3"/>
  <c r="X105" i="3"/>
  <c r="X106" i="3"/>
  <c r="X107" i="3"/>
  <c r="X108" i="3"/>
  <c r="X109" i="3"/>
  <c r="X110" i="3"/>
  <c r="X111" i="3"/>
  <c r="X112" i="3"/>
  <c r="X113" i="3"/>
  <c r="X114" i="3"/>
  <c r="X115" i="3"/>
  <c r="X116" i="3"/>
  <c r="X117" i="3"/>
  <c r="X118" i="3"/>
  <c r="X119" i="3"/>
  <c r="X120" i="3"/>
  <c r="X121" i="3"/>
  <c r="X122" i="3"/>
  <c r="X123" i="3"/>
  <c r="X124" i="3"/>
  <c r="X125" i="3"/>
  <c r="X126" i="3"/>
  <c r="X127" i="3"/>
  <c r="X128" i="3"/>
  <c r="X129" i="3"/>
  <c r="X130" i="3"/>
  <c r="X131" i="3"/>
  <c r="X132" i="3"/>
  <c r="X133" i="3"/>
  <c r="X134" i="3"/>
  <c r="X135" i="3"/>
  <c r="X136" i="3"/>
  <c r="X137" i="3"/>
  <c r="X138" i="3"/>
  <c r="X139" i="3"/>
  <c r="X140" i="3"/>
  <c r="X141" i="3"/>
  <c r="X142" i="3"/>
  <c r="X143" i="3"/>
  <c r="X144" i="3"/>
  <c r="X145" i="3"/>
  <c r="X146" i="3"/>
  <c r="X147" i="3"/>
  <c r="X148" i="3"/>
  <c r="X149" i="3"/>
  <c r="X150" i="3"/>
  <c r="X151" i="3"/>
  <c r="X152" i="3"/>
  <c r="X153" i="3"/>
  <c r="X154" i="3"/>
  <c r="X155" i="3"/>
  <c r="X156" i="3"/>
  <c r="X157" i="3"/>
  <c r="X158" i="3"/>
  <c r="X159" i="3"/>
  <c r="X160" i="3"/>
  <c r="X161" i="3"/>
  <c r="X162" i="3"/>
  <c r="X163" i="3"/>
  <c r="X164" i="3"/>
  <c r="X165" i="3"/>
  <c r="X166" i="3"/>
  <c r="X167" i="3"/>
  <c r="X168" i="3"/>
  <c r="X169" i="3"/>
  <c r="X170" i="3"/>
  <c r="X171" i="3"/>
  <c r="X172" i="3"/>
  <c r="X173" i="3"/>
  <c r="X174" i="3"/>
  <c r="X175" i="3"/>
  <c r="X176" i="3"/>
  <c r="X177" i="3"/>
  <c r="X178" i="3"/>
  <c r="X179" i="3"/>
  <c r="X180" i="3"/>
  <c r="X181" i="3"/>
  <c r="X182" i="3"/>
  <c r="X183" i="3"/>
  <c r="X184" i="3"/>
  <c r="X185" i="3"/>
  <c r="X186" i="3"/>
  <c r="X187" i="3"/>
  <c r="X188" i="3"/>
  <c r="X189" i="3"/>
  <c r="X190" i="3"/>
  <c r="X191" i="3"/>
  <c r="X192" i="3"/>
  <c r="X193" i="3"/>
  <c r="X194" i="3"/>
  <c r="X195" i="3"/>
  <c r="X196" i="3"/>
  <c r="X197" i="3"/>
  <c r="X198" i="3"/>
  <c r="X199" i="3"/>
  <c r="X200" i="3"/>
  <c r="X201" i="3"/>
  <c r="X202" i="3"/>
  <c r="X203" i="3"/>
  <c r="X204" i="3"/>
  <c r="X205" i="3"/>
  <c r="X206" i="3"/>
  <c r="X207" i="3"/>
  <c r="X208" i="3"/>
  <c r="X209" i="3"/>
  <c r="X210" i="3"/>
  <c r="X211" i="3"/>
  <c r="X212" i="3"/>
  <c r="X213" i="3"/>
  <c r="X214" i="3"/>
  <c r="X215" i="3"/>
  <c r="X216" i="3"/>
  <c r="X217" i="3"/>
  <c r="X218" i="3"/>
  <c r="X219" i="3"/>
  <c r="X220" i="3"/>
  <c r="X221" i="3"/>
  <c r="X222" i="3"/>
  <c r="X223" i="3"/>
  <c r="X224" i="3"/>
  <c r="X225" i="3"/>
  <c r="X226" i="3"/>
  <c r="X227" i="3"/>
  <c r="X228" i="3"/>
  <c r="X229" i="3"/>
  <c r="X230" i="3"/>
  <c r="X231" i="3"/>
  <c r="X232" i="3"/>
  <c r="X233" i="3"/>
  <c r="X234" i="3"/>
  <c r="X235" i="3"/>
  <c r="X236" i="3"/>
  <c r="X237" i="3"/>
  <c r="X238" i="3"/>
  <c r="X239" i="3"/>
  <c r="X240" i="3"/>
  <c r="X241" i="3"/>
  <c r="X242" i="3"/>
  <c r="X243" i="3"/>
  <c r="X244" i="3"/>
  <c r="X245" i="3"/>
  <c r="X246" i="3"/>
  <c r="X247" i="3"/>
  <c r="X248" i="3"/>
  <c r="X249" i="3"/>
  <c r="X250" i="3"/>
  <c r="X251" i="3"/>
  <c r="X252" i="3"/>
  <c r="X253" i="3"/>
  <c r="X254" i="3"/>
  <c r="X255" i="3"/>
  <c r="X256" i="3"/>
  <c r="X257" i="3"/>
  <c r="X258" i="3"/>
  <c r="X259" i="3"/>
  <c r="X260" i="3"/>
  <c r="X261" i="3"/>
  <c r="X262" i="3"/>
  <c r="X263" i="3"/>
  <c r="X264" i="3"/>
  <c r="X265" i="3"/>
  <c r="X266" i="3"/>
  <c r="X267" i="3"/>
  <c r="X268" i="3"/>
  <c r="X269" i="3"/>
  <c r="X270" i="3"/>
  <c r="X271" i="3"/>
  <c r="X272" i="3"/>
  <c r="X273" i="3"/>
  <c r="X274" i="3"/>
  <c r="X275" i="3"/>
  <c r="X276" i="3"/>
  <c r="X277" i="3"/>
  <c r="X278" i="3"/>
  <c r="X279" i="3"/>
  <c r="X280" i="3"/>
  <c r="X281" i="3"/>
  <c r="X282" i="3"/>
  <c r="X283" i="3"/>
  <c r="X284" i="3"/>
  <c r="X285" i="3"/>
  <c r="X286" i="3"/>
  <c r="X287" i="3"/>
  <c r="X288" i="3"/>
  <c r="X289" i="3"/>
  <c r="X290" i="3"/>
  <c r="X291" i="3"/>
  <c r="X292" i="3"/>
  <c r="X293" i="3"/>
  <c r="X294" i="3"/>
  <c r="X295" i="3"/>
  <c r="X296" i="3"/>
  <c r="X297" i="3"/>
  <c r="X298" i="3"/>
  <c r="X299" i="3"/>
  <c r="X300" i="3"/>
  <c r="X301" i="3"/>
  <c r="X302" i="3"/>
  <c r="X303" i="3"/>
  <c r="X304" i="3"/>
  <c r="X305" i="3"/>
  <c r="X306" i="3"/>
  <c r="X307" i="3"/>
  <c r="X308" i="3"/>
  <c r="X309" i="3"/>
  <c r="X310" i="3"/>
  <c r="X311" i="3"/>
  <c r="X312" i="3"/>
  <c r="X313" i="3"/>
  <c r="X314" i="3"/>
  <c r="X315" i="3"/>
  <c r="X316" i="3"/>
  <c r="X317" i="3"/>
  <c r="X318" i="3"/>
  <c r="X319" i="3"/>
  <c r="X320" i="3"/>
  <c r="X321" i="3"/>
  <c r="X322" i="3"/>
  <c r="X323" i="3"/>
  <c r="X2" i="3"/>
  <c r="W3" i="3"/>
  <c r="W4" i="3"/>
  <c r="W5" i="3"/>
  <c r="W6" i="3"/>
  <c r="W7" i="3"/>
  <c r="W8" i="3"/>
  <c r="W9" i="3"/>
  <c r="W10" i="3"/>
  <c r="W11" i="3"/>
  <c r="W12" i="3"/>
  <c r="W13" i="3"/>
  <c r="W14" i="3"/>
  <c r="W15" i="3"/>
  <c r="W16" i="3"/>
  <c r="W17" i="3"/>
  <c r="W18" i="3"/>
  <c r="W19" i="3"/>
  <c r="W20" i="3"/>
  <c r="W21" i="3"/>
  <c r="W22" i="3"/>
  <c r="W23" i="3"/>
  <c r="W24" i="3"/>
  <c r="W25" i="3"/>
  <c r="W26" i="3"/>
  <c r="W27" i="3"/>
  <c r="W28" i="3"/>
  <c r="W29" i="3"/>
  <c r="W30" i="3"/>
  <c r="W31" i="3"/>
  <c r="W32" i="3"/>
  <c r="W33" i="3"/>
  <c r="W34" i="3"/>
  <c r="W35" i="3"/>
  <c r="W36" i="3"/>
  <c r="W37" i="3"/>
  <c r="W38" i="3"/>
  <c r="W39" i="3"/>
  <c r="W40" i="3"/>
  <c r="W41" i="3"/>
  <c r="W42" i="3"/>
  <c r="W43" i="3"/>
  <c r="W44" i="3"/>
  <c r="W45" i="3"/>
  <c r="W46" i="3"/>
  <c r="W47" i="3"/>
  <c r="W48" i="3"/>
  <c r="W49" i="3"/>
  <c r="W50" i="3"/>
  <c r="W51" i="3"/>
  <c r="W52" i="3"/>
  <c r="W53" i="3"/>
  <c r="W54" i="3"/>
  <c r="W55" i="3"/>
  <c r="W56" i="3"/>
  <c r="W57" i="3"/>
  <c r="W58" i="3"/>
  <c r="W59" i="3"/>
  <c r="W60" i="3"/>
  <c r="W61" i="3"/>
  <c r="W62" i="3"/>
  <c r="W63" i="3"/>
  <c r="W64" i="3"/>
  <c r="W65" i="3"/>
  <c r="W66" i="3"/>
  <c r="W67" i="3"/>
  <c r="W68" i="3"/>
  <c r="W69" i="3"/>
  <c r="W70" i="3"/>
  <c r="W71" i="3"/>
  <c r="W72" i="3"/>
  <c r="W73" i="3"/>
  <c r="W74" i="3"/>
  <c r="W75" i="3"/>
  <c r="W76" i="3"/>
  <c r="W77" i="3"/>
  <c r="W78" i="3"/>
  <c r="W79" i="3"/>
  <c r="W80" i="3"/>
  <c r="W81" i="3"/>
  <c r="W82" i="3"/>
  <c r="W83" i="3"/>
  <c r="W84" i="3"/>
  <c r="W85" i="3"/>
  <c r="W86" i="3"/>
  <c r="W87" i="3"/>
  <c r="W88" i="3"/>
  <c r="W89" i="3"/>
  <c r="W90" i="3"/>
  <c r="W91" i="3"/>
  <c r="W92" i="3"/>
  <c r="W93" i="3"/>
  <c r="W94" i="3"/>
  <c r="W95" i="3"/>
  <c r="W96" i="3"/>
  <c r="W97" i="3"/>
  <c r="W98" i="3"/>
  <c r="W99" i="3"/>
  <c r="W100" i="3"/>
  <c r="W101" i="3"/>
  <c r="W102" i="3"/>
  <c r="W103" i="3"/>
  <c r="W104" i="3"/>
  <c r="W105" i="3"/>
  <c r="W106" i="3"/>
  <c r="W107" i="3"/>
  <c r="W108" i="3"/>
  <c r="W109" i="3"/>
  <c r="W110" i="3"/>
  <c r="W111" i="3"/>
  <c r="W112" i="3"/>
  <c r="W113" i="3"/>
  <c r="W114" i="3"/>
  <c r="W115" i="3"/>
  <c r="W116" i="3"/>
  <c r="W117" i="3"/>
  <c r="W118" i="3"/>
  <c r="W119" i="3"/>
  <c r="W120" i="3"/>
  <c r="W121" i="3"/>
  <c r="W122" i="3"/>
  <c r="W123" i="3"/>
  <c r="W124" i="3"/>
  <c r="W125" i="3"/>
  <c r="W126" i="3"/>
  <c r="W127" i="3"/>
  <c r="W128" i="3"/>
  <c r="W129" i="3"/>
  <c r="W130" i="3"/>
  <c r="W131" i="3"/>
  <c r="W132" i="3"/>
  <c r="W133" i="3"/>
  <c r="W134" i="3"/>
  <c r="W135" i="3"/>
  <c r="W136" i="3"/>
  <c r="W137" i="3"/>
  <c r="W138" i="3"/>
  <c r="W139" i="3"/>
  <c r="W140" i="3"/>
  <c r="W141" i="3"/>
  <c r="W142" i="3"/>
  <c r="W143" i="3"/>
  <c r="W144" i="3"/>
  <c r="W145" i="3"/>
  <c r="W146" i="3"/>
  <c r="W147" i="3"/>
  <c r="W148" i="3"/>
  <c r="W149" i="3"/>
  <c r="W150" i="3"/>
  <c r="W151" i="3"/>
  <c r="W152" i="3"/>
  <c r="W153" i="3"/>
  <c r="W154" i="3"/>
  <c r="W155" i="3"/>
  <c r="W156" i="3"/>
  <c r="W157" i="3"/>
  <c r="W158" i="3"/>
  <c r="W159" i="3"/>
  <c r="W160" i="3"/>
  <c r="W161" i="3"/>
  <c r="W162" i="3"/>
  <c r="W163" i="3"/>
  <c r="W164" i="3"/>
  <c r="W165" i="3"/>
  <c r="W166" i="3"/>
  <c r="W167" i="3"/>
  <c r="W168" i="3"/>
  <c r="W169" i="3"/>
  <c r="W170" i="3"/>
  <c r="W171" i="3"/>
  <c r="W172" i="3"/>
  <c r="W173" i="3"/>
  <c r="W174" i="3"/>
  <c r="W175" i="3"/>
  <c r="W176" i="3"/>
  <c r="W177" i="3"/>
  <c r="W178" i="3"/>
  <c r="W179" i="3"/>
  <c r="W180" i="3"/>
  <c r="W181" i="3"/>
  <c r="W182" i="3"/>
  <c r="W183" i="3"/>
  <c r="W184" i="3"/>
  <c r="W185" i="3"/>
  <c r="W186" i="3"/>
  <c r="W187" i="3"/>
  <c r="W188" i="3"/>
  <c r="W189" i="3"/>
  <c r="W190" i="3"/>
  <c r="W191" i="3"/>
  <c r="W192" i="3"/>
  <c r="W193" i="3"/>
  <c r="W194" i="3"/>
  <c r="W195" i="3"/>
  <c r="W196" i="3"/>
  <c r="W197" i="3"/>
  <c r="W198" i="3"/>
  <c r="W199" i="3"/>
  <c r="W200" i="3"/>
  <c r="W201" i="3"/>
  <c r="W202" i="3"/>
  <c r="W203" i="3"/>
  <c r="W204" i="3"/>
  <c r="W205" i="3"/>
  <c r="W206" i="3"/>
  <c r="W207" i="3"/>
  <c r="W208" i="3"/>
  <c r="W209" i="3"/>
  <c r="W210" i="3"/>
  <c r="W211" i="3"/>
  <c r="W212" i="3"/>
  <c r="W213" i="3"/>
  <c r="W214" i="3"/>
  <c r="W215" i="3"/>
  <c r="W216" i="3"/>
  <c r="W217" i="3"/>
  <c r="W218" i="3"/>
  <c r="W219" i="3"/>
  <c r="W220" i="3"/>
  <c r="W221" i="3"/>
  <c r="W222" i="3"/>
  <c r="W223" i="3"/>
  <c r="W224" i="3"/>
  <c r="W225" i="3"/>
  <c r="W226" i="3"/>
  <c r="W227" i="3"/>
  <c r="W228" i="3"/>
  <c r="W229" i="3"/>
  <c r="W230" i="3"/>
  <c r="W231" i="3"/>
  <c r="W232" i="3"/>
  <c r="W233" i="3"/>
  <c r="W234" i="3"/>
  <c r="W235" i="3"/>
  <c r="W236" i="3"/>
  <c r="W237" i="3"/>
  <c r="W238" i="3"/>
  <c r="W239" i="3"/>
  <c r="W240" i="3"/>
  <c r="W241" i="3"/>
  <c r="W242" i="3"/>
  <c r="W243" i="3"/>
  <c r="W244" i="3"/>
  <c r="W245" i="3"/>
  <c r="W246" i="3"/>
  <c r="W247" i="3"/>
  <c r="W248" i="3"/>
  <c r="W249" i="3"/>
  <c r="W250" i="3"/>
  <c r="W251" i="3"/>
  <c r="W252" i="3"/>
  <c r="W253" i="3"/>
  <c r="W254" i="3"/>
  <c r="W255" i="3"/>
  <c r="W256" i="3"/>
  <c r="W257" i="3"/>
  <c r="W258" i="3"/>
  <c r="W259" i="3"/>
  <c r="W260" i="3"/>
  <c r="W261" i="3"/>
  <c r="W262" i="3"/>
  <c r="W263" i="3"/>
  <c r="W264" i="3"/>
  <c r="W265" i="3"/>
  <c r="W266" i="3"/>
  <c r="W267" i="3"/>
  <c r="W268" i="3"/>
  <c r="W269" i="3"/>
  <c r="W270" i="3"/>
  <c r="W271" i="3"/>
  <c r="W272" i="3"/>
  <c r="W273" i="3"/>
  <c r="W274" i="3"/>
  <c r="W275" i="3"/>
  <c r="W276" i="3"/>
  <c r="W277" i="3"/>
  <c r="W278" i="3"/>
  <c r="W279" i="3"/>
  <c r="W280" i="3"/>
  <c r="W281" i="3"/>
  <c r="W282" i="3"/>
  <c r="W283" i="3"/>
  <c r="W284" i="3"/>
  <c r="W285" i="3"/>
  <c r="W286" i="3"/>
  <c r="W287" i="3"/>
  <c r="W288" i="3"/>
  <c r="W289" i="3"/>
  <c r="W290" i="3"/>
  <c r="W291" i="3"/>
  <c r="W292" i="3"/>
  <c r="W293" i="3"/>
  <c r="W294" i="3"/>
  <c r="W295" i="3"/>
  <c r="W296" i="3"/>
  <c r="W297" i="3"/>
  <c r="W298" i="3"/>
  <c r="W299" i="3"/>
  <c r="W300" i="3"/>
  <c r="W301" i="3"/>
  <c r="W302" i="3"/>
  <c r="W303" i="3"/>
  <c r="W304" i="3"/>
  <c r="W305" i="3"/>
  <c r="W306" i="3"/>
  <c r="W307" i="3"/>
  <c r="W308" i="3"/>
  <c r="W309" i="3"/>
  <c r="W310" i="3"/>
  <c r="W311" i="3"/>
  <c r="W312" i="3"/>
  <c r="W313" i="3"/>
  <c r="W314" i="3"/>
  <c r="W315" i="3"/>
  <c r="W316" i="3"/>
  <c r="W317" i="3"/>
  <c r="W318" i="3"/>
  <c r="W319" i="3"/>
  <c r="W320" i="3"/>
  <c r="W321" i="3"/>
  <c r="W322" i="3"/>
  <c r="W323" i="3"/>
  <c r="W2" i="3"/>
  <c r="V3" i="3"/>
  <c r="V4" i="3"/>
  <c r="V5" i="3"/>
  <c r="V6" i="3"/>
  <c r="V7" i="3"/>
  <c r="V8" i="3"/>
  <c r="V9" i="3"/>
  <c r="V10" i="3"/>
  <c r="V11" i="3"/>
  <c r="V12" i="3"/>
  <c r="V13" i="3"/>
  <c r="V14" i="3"/>
  <c r="V15" i="3"/>
  <c r="V16" i="3"/>
  <c r="V17" i="3"/>
  <c r="V18" i="3"/>
  <c r="V19" i="3"/>
  <c r="V20" i="3"/>
  <c r="V21" i="3"/>
  <c r="V22" i="3"/>
  <c r="V23" i="3"/>
  <c r="V24" i="3"/>
  <c r="V25" i="3"/>
  <c r="V26" i="3"/>
  <c r="V27" i="3"/>
  <c r="V28" i="3"/>
  <c r="V29" i="3"/>
  <c r="V30" i="3"/>
  <c r="V31" i="3"/>
  <c r="V32" i="3"/>
  <c r="V33" i="3"/>
  <c r="V34" i="3"/>
  <c r="V35" i="3"/>
  <c r="V36" i="3"/>
  <c r="V37" i="3"/>
  <c r="V38" i="3"/>
  <c r="V39" i="3"/>
  <c r="V40" i="3"/>
  <c r="V41" i="3"/>
  <c r="V42" i="3"/>
  <c r="V43" i="3"/>
  <c r="V44" i="3"/>
  <c r="V45" i="3"/>
  <c r="V46" i="3"/>
  <c r="V47" i="3"/>
  <c r="V48" i="3"/>
  <c r="V49" i="3"/>
  <c r="V50" i="3"/>
  <c r="V51" i="3"/>
  <c r="V52" i="3"/>
  <c r="V53" i="3"/>
  <c r="V54" i="3"/>
  <c r="V55" i="3"/>
  <c r="V56" i="3"/>
  <c r="V57" i="3"/>
  <c r="V58" i="3"/>
  <c r="V59" i="3"/>
  <c r="V60" i="3"/>
  <c r="V61" i="3"/>
  <c r="V62" i="3"/>
  <c r="V63" i="3"/>
  <c r="V64" i="3"/>
  <c r="V65" i="3"/>
  <c r="V66" i="3"/>
  <c r="V67" i="3"/>
  <c r="V68" i="3"/>
  <c r="V69" i="3"/>
  <c r="V70" i="3"/>
  <c r="V71" i="3"/>
  <c r="V72" i="3"/>
  <c r="V73" i="3"/>
  <c r="V74" i="3"/>
  <c r="V75" i="3"/>
  <c r="V76" i="3"/>
  <c r="V77" i="3"/>
  <c r="V78" i="3"/>
  <c r="V79" i="3"/>
  <c r="V80" i="3"/>
  <c r="V81" i="3"/>
  <c r="V82" i="3"/>
  <c r="V83" i="3"/>
  <c r="V84" i="3"/>
  <c r="V85" i="3"/>
  <c r="V86" i="3"/>
  <c r="V87" i="3"/>
  <c r="V88" i="3"/>
  <c r="V89" i="3"/>
  <c r="V90" i="3"/>
  <c r="V91" i="3"/>
  <c r="V92" i="3"/>
  <c r="V93" i="3"/>
  <c r="V94" i="3"/>
  <c r="V95" i="3"/>
  <c r="V96" i="3"/>
  <c r="V97" i="3"/>
  <c r="V98" i="3"/>
  <c r="V99" i="3"/>
  <c r="V100" i="3"/>
  <c r="V101" i="3"/>
  <c r="V102" i="3"/>
  <c r="V103" i="3"/>
  <c r="V104" i="3"/>
  <c r="V105" i="3"/>
  <c r="V106" i="3"/>
  <c r="V107" i="3"/>
  <c r="V108" i="3"/>
  <c r="V109" i="3"/>
  <c r="V110" i="3"/>
  <c r="V111" i="3"/>
  <c r="V112" i="3"/>
  <c r="V113" i="3"/>
  <c r="V114" i="3"/>
  <c r="V115" i="3"/>
  <c r="V116" i="3"/>
  <c r="V117" i="3"/>
  <c r="V118" i="3"/>
  <c r="V119" i="3"/>
  <c r="V120" i="3"/>
  <c r="V121" i="3"/>
  <c r="V122" i="3"/>
  <c r="V123" i="3"/>
  <c r="V124" i="3"/>
  <c r="V125" i="3"/>
  <c r="V126" i="3"/>
  <c r="V127" i="3"/>
  <c r="V128" i="3"/>
  <c r="V129" i="3"/>
  <c r="V130" i="3"/>
  <c r="V131" i="3"/>
  <c r="V132" i="3"/>
  <c r="V133" i="3"/>
  <c r="V134" i="3"/>
  <c r="V135" i="3"/>
  <c r="V136" i="3"/>
  <c r="V137" i="3"/>
  <c r="V138" i="3"/>
  <c r="V139" i="3"/>
  <c r="V140" i="3"/>
  <c r="V141" i="3"/>
  <c r="V142" i="3"/>
  <c r="V143" i="3"/>
  <c r="V144" i="3"/>
  <c r="V145" i="3"/>
  <c r="V146" i="3"/>
  <c r="V147" i="3"/>
  <c r="V148" i="3"/>
  <c r="V149" i="3"/>
  <c r="V150" i="3"/>
  <c r="V151" i="3"/>
  <c r="V152" i="3"/>
  <c r="V153" i="3"/>
  <c r="V154" i="3"/>
  <c r="V155" i="3"/>
  <c r="V156" i="3"/>
  <c r="V157" i="3"/>
  <c r="V158" i="3"/>
  <c r="V159" i="3"/>
  <c r="V160" i="3"/>
  <c r="V161" i="3"/>
  <c r="V162" i="3"/>
  <c r="V163" i="3"/>
  <c r="V164" i="3"/>
  <c r="V165" i="3"/>
  <c r="V166" i="3"/>
  <c r="V167" i="3"/>
  <c r="V168" i="3"/>
  <c r="V169" i="3"/>
  <c r="V170" i="3"/>
  <c r="V171" i="3"/>
  <c r="V172" i="3"/>
  <c r="V173" i="3"/>
  <c r="V174" i="3"/>
  <c r="V175" i="3"/>
  <c r="V176" i="3"/>
  <c r="V177" i="3"/>
  <c r="V178" i="3"/>
  <c r="V179" i="3"/>
  <c r="V180" i="3"/>
  <c r="V181" i="3"/>
  <c r="V182" i="3"/>
  <c r="V183" i="3"/>
  <c r="V184" i="3"/>
  <c r="V185" i="3"/>
  <c r="V186" i="3"/>
  <c r="V187" i="3"/>
  <c r="V188" i="3"/>
  <c r="V189" i="3"/>
  <c r="V190" i="3"/>
  <c r="V191" i="3"/>
  <c r="V192" i="3"/>
  <c r="V193" i="3"/>
  <c r="V194" i="3"/>
  <c r="V195" i="3"/>
  <c r="V196" i="3"/>
  <c r="V197" i="3"/>
  <c r="V198" i="3"/>
  <c r="V199" i="3"/>
  <c r="V200" i="3"/>
  <c r="V201" i="3"/>
  <c r="V202" i="3"/>
  <c r="V203" i="3"/>
  <c r="V204" i="3"/>
  <c r="V205" i="3"/>
  <c r="V206" i="3"/>
  <c r="V207" i="3"/>
  <c r="V208" i="3"/>
  <c r="V209" i="3"/>
  <c r="V210" i="3"/>
  <c r="V211" i="3"/>
  <c r="V212" i="3"/>
  <c r="V213" i="3"/>
  <c r="V214" i="3"/>
  <c r="V215" i="3"/>
  <c r="V216" i="3"/>
  <c r="V217" i="3"/>
  <c r="V218" i="3"/>
  <c r="V219" i="3"/>
  <c r="V220" i="3"/>
  <c r="V221" i="3"/>
  <c r="V222" i="3"/>
  <c r="V223" i="3"/>
  <c r="V224" i="3"/>
  <c r="V225" i="3"/>
  <c r="V226" i="3"/>
  <c r="V227" i="3"/>
  <c r="V228" i="3"/>
  <c r="V229" i="3"/>
  <c r="V230" i="3"/>
  <c r="V231" i="3"/>
  <c r="V232" i="3"/>
  <c r="V233" i="3"/>
  <c r="V234" i="3"/>
  <c r="V235" i="3"/>
  <c r="V236" i="3"/>
  <c r="V237" i="3"/>
  <c r="V238" i="3"/>
  <c r="V239" i="3"/>
  <c r="V240" i="3"/>
  <c r="V241" i="3"/>
  <c r="V242" i="3"/>
  <c r="V243" i="3"/>
  <c r="V244" i="3"/>
  <c r="V245" i="3"/>
  <c r="V246" i="3"/>
  <c r="V247" i="3"/>
  <c r="V248" i="3"/>
  <c r="V249" i="3"/>
  <c r="V250" i="3"/>
  <c r="V251" i="3"/>
  <c r="V252" i="3"/>
  <c r="V253" i="3"/>
  <c r="V254" i="3"/>
  <c r="V255" i="3"/>
  <c r="V256" i="3"/>
  <c r="V257" i="3"/>
  <c r="V258" i="3"/>
  <c r="V259" i="3"/>
  <c r="V260" i="3"/>
  <c r="V261" i="3"/>
  <c r="V262" i="3"/>
  <c r="V263" i="3"/>
  <c r="V264" i="3"/>
  <c r="V265" i="3"/>
  <c r="V266" i="3"/>
  <c r="V267" i="3"/>
  <c r="V268" i="3"/>
  <c r="V269" i="3"/>
  <c r="V270" i="3"/>
  <c r="V271" i="3"/>
  <c r="V272" i="3"/>
  <c r="V273" i="3"/>
  <c r="V274" i="3"/>
  <c r="V275" i="3"/>
  <c r="V276" i="3"/>
  <c r="V277" i="3"/>
  <c r="V278" i="3"/>
  <c r="V279" i="3"/>
  <c r="V280" i="3"/>
  <c r="V281" i="3"/>
  <c r="V282" i="3"/>
  <c r="V283" i="3"/>
  <c r="V284" i="3"/>
  <c r="V285" i="3"/>
  <c r="V286" i="3"/>
  <c r="V287" i="3"/>
  <c r="V288" i="3"/>
  <c r="V289" i="3"/>
  <c r="V290" i="3"/>
  <c r="V291" i="3"/>
  <c r="V292" i="3"/>
  <c r="V293" i="3"/>
  <c r="V294" i="3"/>
  <c r="V295" i="3"/>
  <c r="V296" i="3"/>
  <c r="V297" i="3"/>
  <c r="V298" i="3"/>
  <c r="V299" i="3"/>
  <c r="V300" i="3"/>
  <c r="V301" i="3"/>
  <c r="V302" i="3"/>
  <c r="V303" i="3"/>
  <c r="V304" i="3"/>
  <c r="V305" i="3"/>
  <c r="V306" i="3"/>
  <c r="V307" i="3"/>
  <c r="V308" i="3"/>
  <c r="V309" i="3"/>
  <c r="V310" i="3"/>
  <c r="V311" i="3"/>
  <c r="V312" i="3"/>
  <c r="V313" i="3"/>
  <c r="V314" i="3"/>
  <c r="V315" i="3"/>
  <c r="V316" i="3"/>
  <c r="V317" i="3"/>
  <c r="V318" i="3"/>
  <c r="V319" i="3"/>
  <c r="V320" i="3"/>
  <c r="V321" i="3"/>
  <c r="V322" i="3"/>
  <c r="V323" i="3"/>
  <c r="V2" i="3"/>
  <c r="U2" i="3"/>
  <c r="U320" i="3"/>
  <c r="U314" i="3"/>
  <c r="U313" i="3"/>
  <c r="U312" i="3"/>
  <c r="U308" i="3"/>
  <c r="U302" i="3"/>
  <c r="U301" i="3"/>
  <c r="U300" i="3"/>
  <c r="U296" i="3"/>
  <c r="U290" i="3"/>
  <c r="U289" i="3"/>
  <c r="U288" i="3"/>
  <c r="U284" i="3"/>
  <c r="U278" i="3"/>
  <c r="U277" i="3"/>
  <c r="U276" i="3"/>
  <c r="U272" i="3"/>
  <c r="U266" i="3"/>
  <c r="U265" i="3"/>
  <c r="U264" i="3"/>
  <c r="U260" i="3"/>
  <c r="U254" i="3"/>
  <c r="U253" i="3"/>
  <c r="U252" i="3"/>
  <c r="U248" i="3"/>
  <c r="U242" i="3"/>
  <c r="U241" i="3"/>
  <c r="U240" i="3"/>
  <c r="U236" i="3"/>
  <c r="U230" i="3"/>
  <c r="U229" i="3"/>
  <c r="U228" i="3"/>
  <c r="U224" i="3"/>
  <c r="U218" i="3"/>
  <c r="U217" i="3"/>
  <c r="U216" i="3"/>
  <c r="U212" i="3"/>
  <c r="U206" i="3"/>
  <c r="U205" i="3"/>
  <c r="U204" i="3"/>
  <c r="U200" i="3"/>
  <c r="U194" i="3"/>
  <c r="U193" i="3"/>
  <c r="U192" i="3"/>
  <c r="U188" i="3"/>
  <c r="U182" i="3"/>
  <c r="U181" i="3"/>
  <c r="U180" i="3"/>
  <c r="U176" i="3"/>
  <c r="U170" i="3"/>
  <c r="U169" i="3"/>
  <c r="U168" i="3"/>
  <c r="U164" i="3"/>
  <c r="U158" i="3"/>
  <c r="U157" i="3"/>
  <c r="U156" i="3"/>
  <c r="U152" i="3"/>
  <c r="U146" i="3"/>
  <c r="U145" i="3"/>
  <c r="U144" i="3"/>
  <c r="U140" i="3"/>
  <c r="U134" i="3"/>
  <c r="U133" i="3"/>
  <c r="U132" i="3"/>
  <c r="U128" i="3"/>
  <c r="U122" i="3"/>
  <c r="U121" i="3"/>
  <c r="U120" i="3"/>
  <c r="U116" i="3"/>
  <c r="U110" i="3"/>
  <c r="U109" i="3"/>
  <c r="U108" i="3"/>
  <c r="U104" i="3"/>
  <c r="U98" i="3"/>
  <c r="U97" i="3"/>
  <c r="U96" i="3"/>
  <c r="U92" i="3"/>
  <c r="U86" i="3"/>
  <c r="U85" i="3"/>
  <c r="U84" i="3"/>
  <c r="U80" i="3"/>
  <c r="U74" i="3"/>
  <c r="U73" i="3"/>
  <c r="U72" i="3"/>
  <c r="U68" i="3"/>
  <c r="U62" i="3"/>
  <c r="U61" i="3"/>
  <c r="U60" i="3"/>
  <c r="U56" i="3"/>
  <c r="U50" i="3"/>
  <c r="U49" i="3"/>
  <c r="U48" i="3"/>
  <c r="U44" i="3"/>
  <c r="U38" i="3"/>
  <c r="U37" i="3"/>
  <c r="U36" i="3"/>
  <c r="U32" i="3"/>
  <c r="U26" i="3"/>
  <c r="U25" i="3"/>
  <c r="U24" i="3"/>
  <c r="U20" i="3"/>
  <c r="U14" i="3"/>
  <c r="U13" i="3"/>
  <c r="U12" i="3"/>
  <c r="U8" i="3"/>
  <c r="U3" i="3"/>
  <c r="U4" i="3"/>
  <c r="U5" i="3"/>
  <c r="U6" i="3"/>
  <c r="U7" i="3"/>
  <c r="U9" i="3"/>
  <c r="U10" i="3"/>
  <c r="U11" i="3"/>
  <c r="U15" i="3"/>
  <c r="U16" i="3"/>
  <c r="U17" i="3"/>
  <c r="U18" i="3"/>
  <c r="U19" i="3"/>
  <c r="U21" i="3"/>
  <c r="U22" i="3"/>
  <c r="U23" i="3"/>
  <c r="U27" i="3"/>
  <c r="U28" i="3"/>
  <c r="U29" i="3"/>
  <c r="U30" i="3"/>
  <c r="U31" i="3"/>
  <c r="U33" i="3"/>
  <c r="U34" i="3"/>
  <c r="U35" i="3"/>
  <c r="U39" i="3"/>
  <c r="U40" i="3"/>
  <c r="U41" i="3"/>
  <c r="U42" i="3"/>
  <c r="U43" i="3"/>
  <c r="U45" i="3"/>
  <c r="U46" i="3"/>
  <c r="U47" i="3"/>
  <c r="U51" i="3"/>
  <c r="U52" i="3"/>
  <c r="U53" i="3"/>
  <c r="U54" i="3"/>
  <c r="U55" i="3"/>
  <c r="U57" i="3"/>
  <c r="U58" i="3"/>
  <c r="U59" i="3"/>
  <c r="U63" i="3"/>
  <c r="U64" i="3"/>
  <c r="U65" i="3"/>
  <c r="U66" i="3"/>
  <c r="U67" i="3"/>
  <c r="U69" i="3"/>
  <c r="U70" i="3"/>
  <c r="U71" i="3"/>
  <c r="U75" i="3"/>
  <c r="U76" i="3"/>
  <c r="U77" i="3"/>
  <c r="U78" i="3"/>
  <c r="U79" i="3"/>
  <c r="U81" i="3"/>
  <c r="U82" i="3"/>
  <c r="U83" i="3"/>
  <c r="U87" i="3"/>
  <c r="U88" i="3"/>
  <c r="U89" i="3"/>
  <c r="U90" i="3"/>
  <c r="U91" i="3"/>
  <c r="U93" i="3"/>
  <c r="U94" i="3"/>
  <c r="U95" i="3"/>
  <c r="U99" i="3"/>
  <c r="U100" i="3"/>
  <c r="U101" i="3"/>
  <c r="U102" i="3"/>
  <c r="U103" i="3"/>
  <c r="U105" i="3"/>
  <c r="U106" i="3"/>
  <c r="U107" i="3"/>
  <c r="U111" i="3"/>
  <c r="U112" i="3"/>
  <c r="U113" i="3"/>
  <c r="U114" i="3"/>
  <c r="U115" i="3"/>
  <c r="U117" i="3"/>
  <c r="U118" i="3"/>
  <c r="U119" i="3"/>
  <c r="U123" i="3"/>
  <c r="U124" i="3"/>
  <c r="U125" i="3"/>
  <c r="U126" i="3"/>
  <c r="U127" i="3"/>
  <c r="U129" i="3"/>
  <c r="U130" i="3"/>
  <c r="U131" i="3"/>
  <c r="U135" i="3"/>
  <c r="U136" i="3"/>
  <c r="U137" i="3"/>
  <c r="U138" i="3"/>
  <c r="U139" i="3"/>
  <c r="U141" i="3"/>
  <c r="U142" i="3"/>
  <c r="U143" i="3"/>
  <c r="U147" i="3"/>
  <c r="U148" i="3"/>
  <c r="U149" i="3"/>
  <c r="U150" i="3"/>
  <c r="U151" i="3"/>
  <c r="U153" i="3"/>
  <c r="U154" i="3"/>
  <c r="U155" i="3"/>
  <c r="U159" i="3"/>
  <c r="U160" i="3"/>
  <c r="U161" i="3"/>
  <c r="U162" i="3"/>
  <c r="U163" i="3"/>
  <c r="U165" i="3"/>
  <c r="U166" i="3"/>
  <c r="U167" i="3"/>
  <c r="U171" i="3"/>
  <c r="U172" i="3"/>
  <c r="U173" i="3"/>
  <c r="U174" i="3"/>
  <c r="U175" i="3"/>
  <c r="U177" i="3"/>
  <c r="U178" i="3"/>
  <c r="U179" i="3"/>
  <c r="U183" i="3"/>
  <c r="U184" i="3"/>
  <c r="U185" i="3"/>
  <c r="U186" i="3"/>
  <c r="U187" i="3"/>
  <c r="U189" i="3"/>
  <c r="U190" i="3"/>
  <c r="U191" i="3"/>
  <c r="U195" i="3"/>
  <c r="U196" i="3"/>
  <c r="U197" i="3"/>
  <c r="U198" i="3"/>
  <c r="U199" i="3"/>
  <c r="U201" i="3"/>
  <c r="U202" i="3"/>
  <c r="U203" i="3"/>
  <c r="U207" i="3"/>
  <c r="U208" i="3"/>
  <c r="U209" i="3"/>
  <c r="U210" i="3"/>
  <c r="U211" i="3"/>
  <c r="U213" i="3"/>
  <c r="U214" i="3"/>
  <c r="U215" i="3"/>
  <c r="U219" i="3"/>
  <c r="U220" i="3"/>
  <c r="U221" i="3"/>
  <c r="U222" i="3"/>
  <c r="U223" i="3"/>
  <c r="U225" i="3"/>
  <c r="U226" i="3"/>
  <c r="U227" i="3"/>
  <c r="U231" i="3"/>
  <c r="U232" i="3"/>
  <c r="U233" i="3"/>
  <c r="U234" i="3"/>
  <c r="U235" i="3"/>
  <c r="U237" i="3"/>
  <c r="U238" i="3"/>
  <c r="U239" i="3"/>
  <c r="U243" i="3"/>
  <c r="U244" i="3"/>
  <c r="U245" i="3"/>
  <c r="U246" i="3"/>
  <c r="U247" i="3"/>
  <c r="U249" i="3"/>
  <c r="U250" i="3"/>
  <c r="U251" i="3"/>
  <c r="U255" i="3"/>
  <c r="U256" i="3"/>
  <c r="U257" i="3"/>
  <c r="U258" i="3"/>
  <c r="U259" i="3"/>
  <c r="U261" i="3"/>
  <c r="U262" i="3"/>
  <c r="U263" i="3"/>
  <c r="U267" i="3"/>
  <c r="U268" i="3"/>
  <c r="U269" i="3"/>
  <c r="U270" i="3"/>
  <c r="U271" i="3"/>
  <c r="U273" i="3"/>
  <c r="U274" i="3"/>
  <c r="U275" i="3"/>
  <c r="U279" i="3"/>
  <c r="U280" i="3"/>
  <c r="U281" i="3"/>
  <c r="U282" i="3"/>
  <c r="U283" i="3"/>
  <c r="U285" i="3"/>
  <c r="U286" i="3"/>
  <c r="U287" i="3"/>
  <c r="U291" i="3"/>
  <c r="U292" i="3"/>
  <c r="U293" i="3"/>
  <c r="U294" i="3"/>
  <c r="U295" i="3"/>
  <c r="U297" i="3"/>
  <c r="U298" i="3"/>
  <c r="U299" i="3"/>
  <c r="U303" i="3"/>
  <c r="U304" i="3"/>
  <c r="U305" i="3"/>
  <c r="U306" i="3"/>
  <c r="U307" i="3"/>
  <c r="U309" i="3"/>
  <c r="U310" i="3"/>
  <c r="U311" i="3"/>
  <c r="U315" i="3"/>
  <c r="U316" i="3"/>
  <c r="U317" i="3"/>
  <c r="U318" i="3"/>
  <c r="U319" i="3"/>
  <c r="U321" i="3"/>
  <c r="U322" i="3"/>
  <c r="U323" i="3"/>
  <c r="B7" i="5" l="1"/>
  <c r="V7" i="8"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<sst xmlns="http://schemas.openxmlformats.org/spreadsheetml/2006/main" count="10300" uniqueCount="2896">
  <si>
    <t>Employee_ID</t>
  </si>
  <si>
    <t>Employee_Name</t>
  </si>
  <si>
    <t>Department</t>
  </si>
  <si>
    <t>Location</t>
  </si>
  <si>
    <t>Job_Title</t>
  </si>
  <si>
    <t>Gender</t>
  </si>
  <si>
    <t>Age</t>
  </si>
  <si>
    <t>Education</t>
  </si>
  <si>
    <t>Employment_Status</t>
  </si>
  <si>
    <t>Joining_Date</t>
  </si>
  <si>
    <t>Experience_Years</t>
  </si>
  <si>
    <t>Annual_Salary</t>
  </si>
  <si>
    <t>Bonus_Percent</t>
  </si>
  <si>
    <t>Performance_Rating</t>
  </si>
  <si>
    <t>Attrition</t>
  </si>
  <si>
    <t>Phone</t>
  </si>
  <si>
    <t>Email</t>
  </si>
  <si>
    <t>Overtime_Hours</t>
  </si>
  <si>
    <t>Training_Hours</t>
  </si>
  <si>
    <t>Manager_ID</t>
  </si>
  <si>
    <t>EMP1493</t>
  </si>
  <si>
    <t>Yash Gupta</t>
  </si>
  <si>
    <t>Human Resources</t>
  </si>
  <si>
    <t>Bangalore</t>
  </si>
  <si>
    <t>Senior Manager</t>
  </si>
  <si>
    <t>M</t>
  </si>
  <si>
    <t>M.Tech</t>
  </si>
  <si>
    <t>Contract</t>
  </si>
  <si>
    <t>2023-05-13</t>
  </si>
  <si>
    <t>yes</t>
  </si>
  <si>
    <t>+91-8389763738</t>
  </si>
  <si>
    <t>yash.gupta42@company.com</t>
  </si>
  <si>
    <t>EMP1001</t>
  </si>
  <si>
    <t>EMP1215</t>
  </si>
  <si>
    <t>Manish Iyer</t>
  </si>
  <si>
    <t>sales</t>
  </si>
  <si>
    <t>Senior Consultant</t>
  </si>
  <si>
    <t>Female</t>
  </si>
  <si>
    <t>MBA</t>
  </si>
  <si>
    <t>Active</t>
  </si>
  <si>
    <t>2019-01-16</t>
  </si>
  <si>
    <t>No</t>
  </si>
  <si>
    <t>manish.iyer78@company.com</t>
  </si>
  <si>
    <t>EMP1096</t>
  </si>
  <si>
    <t>EMP1262</t>
  </si>
  <si>
    <t>Shruti Bhat</t>
  </si>
  <si>
    <t>Finance</t>
  </si>
  <si>
    <t>New Delhi</t>
  </si>
  <si>
    <t>Intern</t>
  </si>
  <si>
    <t>F</t>
  </si>
  <si>
    <t>BBA</t>
  </si>
  <si>
    <t>On Leave</t>
  </si>
  <si>
    <t>2023-01-14</t>
  </si>
  <si>
    <t>+91-7293791975</t>
  </si>
  <si>
    <t>shruti.bhat86@company.com</t>
  </si>
  <si>
    <t>EMP1043</t>
  </si>
  <si>
    <t>EMP1368</t>
  </si>
  <si>
    <t>Nitin Banerjee</t>
  </si>
  <si>
    <t>Operations</t>
  </si>
  <si>
    <t>mumbai</t>
  </si>
  <si>
    <t>Director</t>
  </si>
  <si>
    <t>male</t>
  </si>
  <si>
    <t>Diploma</t>
  </si>
  <si>
    <t>2024-01-14</t>
  </si>
  <si>
    <t>Y</t>
  </si>
  <si>
    <t>+91-9839533548</t>
  </si>
  <si>
    <t>EMP1061</t>
  </si>
  <si>
    <t>EMP1338</t>
  </si>
  <si>
    <t>Sunita Sharma</t>
  </si>
  <si>
    <t>Sales</t>
  </si>
  <si>
    <t>Bengaluru</t>
  </si>
  <si>
    <t>Consultant</t>
  </si>
  <si>
    <t>FEMALE</t>
  </si>
  <si>
    <t>MCA</t>
  </si>
  <si>
    <t>Terminated</t>
  </si>
  <si>
    <t>2016-09-11</t>
  </si>
  <si>
    <t>Yes</t>
  </si>
  <si>
    <t>+91-9785809193</t>
  </si>
  <si>
    <t>sunita.sharma55@company.com</t>
  </si>
  <si>
    <t>EMP1067</t>
  </si>
  <si>
    <t>EMP1154</t>
  </si>
  <si>
    <t>Rahul Patel</t>
  </si>
  <si>
    <t>marketing</t>
  </si>
  <si>
    <t>Delhi</t>
  </si>
  <si>
    <t>B.Tech</t>
  </si>
  <si>
    <t>on leave</t>
  </si>
  <si>
    <t>2013-07-26</t>
  </si>
  <si>
    <t>+91-8067614205</t>
  </si>
  <si>
    <t>rahul.patel10@company.com</t>
  </si>
  <si>
    <t>EMP1075</t>
  </si>
  <si>
    <t>EMP1294</t>
  </si>
  <si>
    <t>Vishal Joshi</t>
  </si>
  <si>
    <t>Executive</t>
  </si>
  <si>
    <t>Male</t>
  </si>
  <si>
    <t>2015-10-18</t>
  </si>
  <si>
    <t>0000000000</t>
  </si>
  <si>
    <t>vishal.joshi28@company.com</t>
  </si>
  <si>
    <t>EMP1080</t>
  </si>
  <si>
    <t>EMP1254</t>
  </si>
  <si>
    <t>Shruti Malhotra</t>
  </si>
  <si>
    <t>Information Technology</t>
  </si>
  <si>
    <t>Pune</t>
  </si>
  <si>
    <t>Analyst</t>
  </si>
  <si>
    <t>CA</t>
  </si>
  <si>
    <t>2012-04-18</t>
  </si>
  <si>
    <t>+91-8995665351</t>
  </si>
  <si>
    <t>shruti.malhotra80@company.com</t>
  </si>
  <si>
    <t>EMP1088</t>
  </si>
  <si>
    <t>EMP1403</t>
  </si>
  <si>
    <t>Ankit Nair</t>
  </si>
  <si>
    <t>Marketing</t>
  </si>
  <si>
    <t>Chennai</t>
  </si>
  <si>
    <t>2018-01-11</t>
  </si>
  <si>
    <t>+91-8897937786</t>
  </si>
  <si>
    <t>ankit.nair26@company.com</t>
  </si>
  <si>
    <t>EMP1056</t>
  </si>
  <si>
    <t>EMP1315</t>
  </si>
  <si>
    <t>Shweta Verma</t>
  </si>
  <si>
    <t>ACTIVE</t>
  </si>
  <si>
    <t>2012-03-16</t>
  </si>
  <si>
    <t>+91-9019427054</t>
  </si>
  <si>
    <t>shweta.verma44@company.com</t>
  </si>
  <si>
    <t>EMP1191</t>
  </si>
  <si>
    <t>Piyush Bose</t>
  </si>
  <si>
    <t>IT</t>
  </si>
  <si>
    <t>active</t>
  </si>
  <si>
    <t>2024-09-08</t>
  </si>
  <si>
    <t>+91-9278231594</t>
  </si>
  <si>
    <t>piyush.bose2@company.com</t>
  </si>
  <si>
    <t>EMP1006</t>
  </si>
  <si>
    <t>EMP1358</t>
  </si>
  <si>
    <t>Priya Sinha</t>
  </si>
  <si>
    <t>Legal</t>
  </si>
  <si>
    <t>female</t>
  </si>
  <si>
    <t>2024-11-10</t>
  </si>
  <si>
    <t>N</t>
  </si>
  <si>
    <t>+91-9440843025</t>
  </si>
  <si>
    <t>priya.sinha34@company.com</t>
  </si>
  <si>
    <t>EMP1036</t>
  </si>
  <si>
    <t>EMP1397</t>
  </si>
  <si>
    <t>Anjali Pandey</t>
  </si>
  <si>
    <t>delhi</t>
  </si>
  <si>
    <t>B.Com</t>
  </si>
  <si>
    <t>2018-09-28</t>
  </si>
  <si>
    <t>+91-7752525490</t>
  </si>
  <si>
    <t>anjali.pandey92@company.com</t>
  </si>
  <si>
    <t>EMP1059</t>
  </si>
  <si>
    <t>EMP1100</t>
  </si>
  <si>
    <t>Archana Kapoor</t>
  </si>
  <si>
    <t>2016-08-18</t>
  </si>
  <si>
    <t>+91-7600406558</t>
  </si>
  <si>
    <t>archana.kapoor8@company.com</t>
  </si>
  <si>
    <t>EMP1083</t>
  </si>
  <si>
    <t>EMP1196</t>
  </si>
  <si>
    <t>Pallavi Verma</t>
  </si>
  <si>
    <t>VP</t>
  </si>
  <si>
    <t>2021-10-08</t>
  </si>
  <si>
    <t>+91-9146127091</t>
  </si>
  <si>
    <t>pallavi.verma58@company.com</t>
  </si>
  <si>
    <t>EMP1052</t>
  </si>
  <si>
    <t>EMP1173</t>
  </si>
  <si>
    <t>REKHA SAXENA</t>
  </si>
  <si>
    <t>2020-08-03</t>
  </si>
  <si>
    <t>+91-9989787464</t>
  </si>
  <si>
    <t>rekha.saxena51@company.com</t>
  </si>
  <si>
    <t>EMP1026</t>
  </si>
  <si>
    <t>EMP1015</t>
  </si>
  <si>
    <t>Preeti Banerjee</t>
  </si>
  <si>
    <t>Associate</t>
  </si>
  <si>
    <t>2023-04-22</t>
  </si>
  <si>
    <t>+91-8051590706</t>
  </si>
  <si>
    <t>preeti.banerjee79@company.com</t>
  </si>
  <si>
    <t>EMP1090</t>
  </si>
  <si>
    <t>EMP1273</t>
  </si>
  <si>
    <t>Vikram Kapoor</t>
  </si>
  <si>
    <t>Lead</t>
  </si>
  <si>
    <t>2010-08-01</t>
  </si>
  <si>
    <t>+91-7834957049</t>
  </si>
  <si>
    <t>vikram.kapoor2@company.com</t>
  </si>
  <si>
    <t>EMP1011</t>
  </si>
  <si>
    <t>EMP1147</t>
  </si>
  <si>
    <t>Karan Patel</t>
  </si>
  <si>
    <t>hyderabad</t>
  </si>
  <si>
    <t>2016-11-24</t>
  </si>
  <si>
    <t>+91-9046790105</t>
  </si>
  <si>
    <t>karan.patel28@company.com</t>
  </si>
  <si>
    <t>EMP1031</t>
  </si>
  <si>
    <t>EMP1107</t>
  </si>
  <si>
    <t>Anjali Gupta</t>
  </si>
  <si>
    <t>Manager</t>
  </si>
  <si>
    <t>MALE</t>
  </si>
  <si>
    <t>2021-12-18</t>
  </si>
  <si>
    <t>+91-7213182609</t>
  </si>
  <si>
    <t>anjali.gupta71@company.com</t>
  </si>
  <si>
    <t>EMP1085</t>
  </si>
  <si>
    <t>EMP1018</t>
  </si>
  <si>
    <t>TEJAS MENON</t>
  </si>
  <si>
    <t>HR</t>
  </si>
  <si>
    <t>Inactive</t>
  </si>
  <si>
    <t>2022-07-24</t>
  </si>
  <si>
    <t>tejas.menon11@company.com</t>
  </si>
  <si>
    <t>EMP1028</t>
  </si>
  <si>
    <t>EMP1118</t>
  </si>
  <si>
    <t>Smita Banerjee</t>
  </si>
  <si>
    <t>B.Sc</t>
  </si>
  <si>
    <t>2024-06-25</t>
  </si>
  <si>
    <t>+91-7971803809</t>
  </si>
  <si>
    <t>smita.banerjee45@company.com</t>
  </si>
  <si>
    <t>EMP1190</t>
  </si>
  <si>
    <t>Anjali Mehta</t>
  </si>
  <si>
    <t>2015-03-09</t>
  </si>
  <si>
    <t>+91-7142122736</t>
  </si>
  <si>
    <t>anjali.mehta11@company.com</t>
  </si>
  <si>
    <t>EMP1099</t>
  </si>
  <si>
    <t>EMP1352</t>
  </si>
  <si>
    <t>Gaurav Reddy</t>
  </si>
  <si>
    <t>FINANCE</t>
  </si>
  <si>
    <t>pune</t>
  </si>
  <si>
    <t>PhD</t>
  </si>
  <si>
    <t>2017-04-02</t>
  </si>
  <si>
    <t>N/A</t>
  </si>
  <si>
    <t>+91-8676868646</t>
  </si>
  <si>
    <t>gaurav.reddy9@company.com</t>
  </si>
  <si>
    <t>EMP1293</t>
  </si>
  <si>
    <t>Archana Sinha</t>
  </si>
  <si>
    <t>2011-03-28</t>
  </si>
  <si>
    <t>archana.sinha84@company.com</t>
  </si>
  <si>
    <t>EMP1065</t>
  </si>
  <si>
    <t>EMP1362</t>
  </si>
  <si>
    <t>Arjun Reddy</t>
  </si>
  <si>
    <t>Ops</t>
  </si>
  <si>
    <t>Hyderabad</t>
  </si>
  <si>
    <t>2011-04-19</t>
  </si>
  <si>
    <t>+91-9314847294</t>
  </si>
  <si>
    <t>arjun.reddy68@company.com</t>
  </si>
  <si>
    <t>EMP1025</t>
  </si>
  <si>
    <t>EMP1492</t>
  </si>
  <si>
    <t>Amit Desai</t>
  </si>
  <si>
    <t>2023-05-22</t>
  </si>
  <si>
    <t>+91-7158044711</t>
  </si>
  <si>
    <t>amit.desai76@company.com</t>
  </si>
  <si>
    <t>EMP1037</t>
  </si>
  <si>
    <t>EMP1263</t>
  </si>
  <si>
    <t>Vivek Gupta</t>
  </si>
  <si>
    <t>Mumbai</t>
  </si>
  <si>
    <t>2015-12-13</t>
  </si>
  <si>
    <t>vivek.gupta72@company.com</t>
  </si>
  <si>
    <t>EMP1456</t>
  </si>
  <si>
    <t>Sanjay Joshi</t>
  </si>
  <si>
    <t>2016-03-11</t>
  </si>
  <si>
    <t>+91-9429306031</t>
  </si>
  <si>
    <t>sanjay.joshi6@company.com</t>
  </si>
  <si>
    <t>EMP1009</t>
  </si>
  <si>
    <t>EMP1313</t>
  </si>
  <si>
    <t>Nikhil Nair</t>
  </si>
  <si>
    <t>SALES</t>
  </si>
  <si>
    <t>MUMBAI</t>
  </si>
  <si>
    <t>2020-04-13</t>
  </si>
  <si>
    <t>NO</t>
  </si>
  <si>
    <t>+91-9286960285</t>
  </si>
  <si>
    <t>nikhil.nair30@company.com</t>
  </si>
  <si>
    <t>EMP1290</t>
  </si>
  <si>
    <t>Nikhil Desai</t>
  </si>
  <si>
    <t>2021-04-23</t>
  </si>
  <si>
    <t>+91-9492728925</t>
  </si>
  <si>
    <t>nikhil.desai7@company.com</t>
  </si>
  <si>
    <t>EMP1117</t>
  </si>
  <si>
    <t>Komal Patel</t>
  </si>
  <si>
    <t>2019-08-05</t>
  </si>
  <si>
    <t>+91-8428632583</t>
  </si>
  <si>
    <t>komal.patel23@company.com</t>
  </si>
  <si>
    <t>EMP1074</t>
  </si>
  <si>
    <t>EMP1202</t>
  </si>
  <si>
    <t>Suresh Singh</t>
  </si>
  <si>
    <t>2013-10-16</t>
  </si>
  <si>
    <t>+91-8064427950</t>
  </si>
  <si>
    <t>suresh.singh75@company.com</t>
  </si>
  <si>
    <t>EMP1409</t>
  </si>
  <si>
    <t>Manish Bose</t>
  </si>
  <si>
    <t>2018-06-01</t>
  </si>
  <si>
    <t>+91-9314168714</t>
  </si>
  <si>
    <t>manish.bose74@company.com</t>
  </si>
  <si>
    <t>EMP1291</t>
  </si>
  <si>
    <t>Kavya Kumar</t>
  </si>
  <si>
    <t>2015-08-06</t>
  </si>
  <si>
    <t>+91-9548600919</t>
  </si>
  <si>
    <t>kavya.kumar20@company.com</t>
  </si>
  <si>
    <t>EMP1089</t>
  </si>
  <si>
    <t>EMP1007</t>
  </si>
  <si>
    <t>Hemant Menon</t>
  </si>
  <si>
    <t>Senior Analyst</t>
  </si>
  <si>
    <t>2020-02-02</t>
  </si>
  <si>
    <t>+91-8067970820</t>
  </si>
  <si>
    <t>hemant.menon69@company.com</t>
  </si>
  <si>
    <t>EMP1057</t>
  </si>
  <si>
    <t>EMP1427</t>
  </si>
  <si>
    <t>2020-10-13</t>
  </si>
  <si>
    <t>+91-8852482540</t>
  </si>
  <si>
    <t>manish.bose31@company.com</t>
  </si>
  <si>
    <t>EMP1286</t>
  </si>
  <si>
    <t>Varsha Pandey</t>
  </si>
  <si>
    <t>2010-03-16</t>
  </si>
  <si>
    <t>+91-9004903816</t>
  </si>
  <si>
    <t>varsha.pandey58@company.com</t>
  </si>
  <si>
    <t>EMP1218</t>
  </si>
  <si>
    <t>Geeta Chatterjee</t>
  </si>
  <si>
    <t>2015-04-11</t>
  </si>
  <si>
    <t>+91-9143661603</t>
  </si>
  <si>
    <t>geeta.chatterjee92@company.com</t>
  </si>
  <si>
    <t>EMP1078</t>
  </si>
  <si>
    <t>EMP1330</t>
  </si>
  <si>
    <t>Priya Kulkarni</t>
  </si>
  <si>
    <t>2020/10/28</t>
  </si>
  <si>
    <t>+91-9576949740</t>
  </si>
  <si>
    <t>priya.kulkarni21@company.com</t>
  </si>
  <si>
    <t>EMP1383</t>
  </si>
  <si>
    <t>Tanvi Menon</t>
  </si>
  <si>
    <t>2015-08-03</t>
  </si>
  <si>
    <t>+91-7570091680</t>
  </si>
  <si>
    <t>tanvi.menon49@company.com</t>
  </si>
  <si>
    <t>EMP1312</t>
  </si>
  <si>
    <t>Rekha Gupta</t>
  </si>
  <si>
    <t>2022-12-26</t>
  </si>
  <si>
    <t>+91-9816872014</t>
  </si>
  <si>
    <t>rekha.gupta19@company.com</t>
  </si>
  <si>
    <t>EMP1418</t>
  </si>
  <si>
    <t>Tanvi Malhotra</t>
  </si>
  <si>
    <t>bangalore</t>
  </si>
  <si>
    <t>2011-09-23</t>
  </si>
  <si>
    <t>+91-9376399126</t>
  </si>
  <si>
    <t>tanvi.malhotra11@company.com</t>
  </si>
  <si>
    <t>Yash Chopra</t>
  </si>
  <si>
    <t>2022-08-16</t>
  </si>
  <si>
    <t>+91-7797737957</t>
  </si>
  <si>
    <t>yash.chopra85@company.com</t>
  </si>
  <si>
    <t>EMP1035</t>
  </si>
  <si>
    <t>EMP1114</t>
  </si>
  <si>
    <t>Priya Agarwal</t>
  </si>
  <si>
    <t>2024-07-28</t>
  </si>
  <si>
    <t>+91-9908535332</t>
  </si>
  <si>
    <t>priya.agarwal80@company.com</t>
  </si>
  <si>
    <t>Karan Reddy</t>
  </si>
  <si>
    <t>2018-12-14</t>
  </si>
  <si>
    <t>karan.reddy56@company.com</t>
  </si>
  <si>
    <t>EMP1159</t>
  </si>
  <si>
    <t>Nikhil Bose</t>
  </si>
  <si>
    <t>2018-07-24</t>
  </si>
  <si>
    <t>+91-9663727197</t>
  </si>
  <si>
    <t>nikhil.bose93@company.com</t>
  </si>
  <si>
    <t>EMP1184</t>
  </si>
  <si>
    <t>Nitin Chatterjee</t>
  </si>
  <si>
    <t>2018-08-13</t>
  </si>
  <si>
    <t>+91-7682986933</t>
  </si>
  <si>
    <t>nitin.chatterjee50@company.com</t>
  </si>
  <si>
    <t>EMP1073</t>
  </si>
  <si>
    <t>EMP1356</t>
  </si>
  <si>
    <t>Piyush Singh</t>
  </si>
  <si>
    <t>2015-12-18</t>
  </si>
  <si>
    <t>+91-9670918974</t>
  </si>
  <si>
    <t>piyush.singh11@company.com</t>
  </si>
  <si>
    <t>EMP1027</t>
  </si>
  <si>
    <t>EMP1101</t>
  </si>
  <si>
    <t>Shruti Nair</t>
  </si>
  <si>
    <t>16-7-2021</t>
  </si>
  <si>
    <t>+91-8181037719</t>
  </si>
  <si>
    <t>invalid-email</t>
  </si>
  <si>
    <t>EMP1044</t>
  </si>
  <si>
    <t>Deepak Bhat</t>
  </si>
  <si>
    <t>2022-11-16</t>
  </si>
  <si>
    <t>+91-9925445989</t>
  </si>
  <si>
    <t>deepak.bhat73@company.com</t>
  </si>
  <si>
    <t>EMP1217</t>
  </si>
  <si>
    <t>Vivek Singh</t>
  </si>
  <si>
    <t>2017-10-24</t>
  </si>
  <si>
    <t>+91-8248071617</t>
  </si>
  <si>
    <t>vivek.singh55@company.com</t>
  </si>
  <si>
    <t>EMP1327</t>
  </si>
  <si>
    <t>Desai, Varsha</t>
  </si>
  <si>
    <t>2010-01-01</t>
  </si>
  <si>
    <t>+91-9576747064</t>
  </si>
  <si>
    <t>varsha.desai22@company.com</t>
  </si>
  <si>
    <t>EMP1051</t>
  </si>
  <si>
    <t>EMP1425</t>
  </si>
  <si>
    <t>Varsha Banerjee</t>
  </si>
  <si>
    <t>2015-08-12</t>
  </si>
  <si>
    <t>+91-7815140795</t>
  </si>
  <si>
    <t>varsha.banerjee65@company.com</t>
  </si>
  <si>
    <t>EMP1450</t>
  </si>
  <si>
    <t>TEJAS BHAT</t>
  </si>
  <si>
    <t>2017-05-25</t>
  </si>
  <si>
    <t>+91-7979731971</t>
  </si>
  <si>
    <t>tejas.bhat6@company.com</t>
  </si>
  <si>
    <t>EMP1129</t>
  </si>
  <si>
    <t>SANJAY KUMAR</t>
  </si>
  <si>
    <t>2016-11-11</t>
  </si>
  <si>
    <t>+91-9665292162</t>
  </si>
  <si>
    <t>sanjay.kumar57@company.com</t>
  </si>
  <si>
    <t>EMP1095</t>
  </si>
  <si>
    <t>EMP1489</t>
  </si>
  <si>
    <t>Meera Banerjee</t>
  </si>
  <si>
    <t>2015-05-03</t>
  </si>
  <si>
    <t>+91-8348435054</t>
  </si>
  <si>
    <t>meera.banerjee8@company.com</t>
  </si>
  <si>
    <t>EMP1048</t>
  </si>
  <si>
    <t>Swati Shah</t>
  </si>
  <si>
    <t>2017-03-15</t>
  </si>
  <si>
    <t>+91-9022191192</t>
  </si>
  <si>
    <t>swati.shah86@company.com</t>
  </si>
  <si>
    <t>EMP1068</t>
  </si>
  <si>
    <t>EMP1213</t>
  </si>
  <si>
    <t>Yash Mehta</t>
  </si>
  <si>
    <t>2011-10-25</t>
  </si>
  <si>
    <t>+91-8165907403</t>
  </si>
  <si>
    <t>yash.mehta89@company.com</t>
  </si>
  <si>
    <t>EMP1210</t>
  </si>
  <si>
    <t>Smita Gupta</t>
  </si>
  <si>
    <t>2023-09-03</t>
  </si>
  <si>
    <t>+91-8900541784</t>
  </si>
  <si>
    <t>smita.gupta94@company.com</t>
  </si>
  <si>
    <t>EMP1012</t>
  </si>
  <si>
    <t>EMP1232</t>
  </si>
  <si>
    <t>Sneha Verma</t>
  </si>
  <si>
    <t>2024-09-02</t>
  </si>
  <si>
    <t>+91-8456752978</t>
  </si>
  <si>
    <t>sneha.verma17@company.com</t>
  </si>
  <si>
    <t>EMP1017</t>
  </si>
  <si>
    <t>EMP1257</t>
  </si>
  <si>
    <t>Priya Saxena</t>
  </si>
  <si>
    <t>2013-01-07</t>
  </si>
  <si>
    <t>+91-9444275463</t>
  </si>
  <si>
    <t>priya.saxena22@company.com</t>
  </si>
  <si>
    <t>EMP1076</t>
  </si>
  <si>
    <t>EMP1040</t>
  </si>
  <si>
    <t>Ankit Iyer</t>
  </si>
  <si>
    <t>2016-09-25</t>
  </si>
  <si>
    <t>+91-7112759345</t>
  </si>
  <si>
    <t>ankit.iyer85@company.com</t>
  </si>
  <si>
    <t>EMP1265</t>
  </si>
  <si>
    <t>Kavya Bhat</t>
  </si>
  <si>
    <t>2013-01-21</t>
  </si>
  <si>
    <t>+91-9100198814</t>
  </si>
  <si>
    <t>kavya.bhat11@company.com</t>
  </si>
  <si>
    <t>EMP1462</t>
  </si>
  <si>
    <t>Neha Patel</t>
  </si>
  <si>
    <t>2010-08-14</t>
  </si>
  <si>
    <t>+91-9477168260</t>
  </si>
  <si>
    <t>neha.patel85@company.com</t>
  </si>
  <si>
    <t>EMP1276</t>
  </si>
  <si>
    <t>ROHIT SHAH</t>
  </si>
  <si>
    <t>2013-07-10</t>
  </si>
  <si>
    <t>+91-9302882127</t>
  </si>
  <si>
    <t>rohit.shah73@company.com</t>
  </si>
  <si>
    <t>EMP1162</t>
  </si>
  <si>
    <t>Geeta Bose</t>
  </si>
  <si>
    <t>2015-06-14</t>
  </si>
  <si>
    <t>+91-9613115539</t>
  </si>
  <si>
    <t>geeta.bose70@company.com</t>
  </si>
  <si>
    <t>EMP1058</t>
  </si>
  <si>
    <t>EMP1389</t>
  </si>
  <si>
    <t>Preeti Patel</t>
  </si>
  <si>
    <t>2011-08-26</t>
  </si>
  <si>
    <t>+91-7052503784</t>
  </si>
  <si>
    <t>preeti.patel17@company.com</t>
  </si>
  <si>
    <t>EMP1308</t>
  </si>
  <si>
    <t>Archana Bhat</t>
  </si>
  <si>
    <t>2023-10-04</t>
  </si>
  <si>
    <t>+91-9689635834</t>
  </si>
  <si>
    <t>archana.bhat71@company.com</t>
  </si>
  <si>
    <t>EMP1097</t>
  </si>
  <si>
    <t>EMP1164</t>
  </si>
  <si>
    <t>Ritu Chopra</t>
  </si>
  <si>
    <t>2015-07-14</t>
  </si>
  <si>
    <t>+91-9803665224</t>
  </si>
  <si>
    <t>ritu.chopra2@company.com</t>
  </si>
  <si>
    <t>EMP1264</t>
  </si>
  <si>
    <t>Deepak Kumar</t>
  </si>
  <si>
    <t>2020-03-13</t>
  </si>
  <si>
    <t>+91-8310275883</t>
  </si>
  <si>
    <t>deepak.kumar48@company.com</t>
  </si>
  <si>
    <t>EMP1092</t>
  </si>
  <si>
    <t>EMP1402</t>
  </si>
  <si>
    <t>2018-12-18</t>
  </si>
  <si>
    <t>+91-8065031404</t>
  </si>
  <si>
    <t>nitin.chatterjee95@company.com</t>
  </si>
  <si>
    <t>EMP1469</t>
  </si>
  <si>
    <t>Arun Verma</t>
  </si>
  <si>
    <t>2022-07-02</t>
  </si>
  <si>
    <t>+91-9118926603</t>
  </si>
  <si>
    <t>arun.verma57@company.com</t>
  </si>
  <si>
    <t>EMP1174</t>
  </si>
  <si>
    <t>Anjali Nair</t>
  </si>
  <si>
    <t>2018-10-06</t>
  </si>
  <si>
    <t>+91-8439643578</t>
  </si>
  <si>
    <t>anjali.nair85@company.com</t>
  </si>
  <si>
    <t>EMP1094</t>
  </si>
  <si>
    <t>EMP1377</t>
  </si>
  <si>
    <t>Nisha Sinha</t>
  </si>
  <si>
    <t>2013-04-23</t>
  </si>
  <si>
    <t>+91-9684237577</t>
  </si>
  <si>
    <t>nisha.sinha21@company.com</t>
  </si>
  <si>
    <t>EMP1432</t>
  </si>
  <si>
    <t>Kavya Pandey</t>
  </si>
  <si>
    <t>2015-11-06</t>
  </si>
  <si>
    <t>+91-7829614584</t>
  </si>
  <si>
    <t>kavya.pandey79@company.com</t>
  </si>
  <si>
    <t>EMP1023</t>
  </si>
  <si>
    <t>Yash Joshi</t>
  </si>
  <si>
    <t>2010-01-18</t>
  </si>
  <si>
    <t>+91-7440610570</t>
  </si>
  <si>
    <t>yash.joshi74@company.com</t>
  </si>
  <si>
    <t>EMP1062</t>
  </si>
  <si>
    <t>EMP1360</t>
  </si>
  <si>
    <t>Komal Pillai</t>
  </si>
  <si>
    <t>2020-01-06</t>
  </si>
  <si>
    <t>+91-9376868089</t>
  </si>
  <si>
    <t>komal.pillai8@company.com</t>
  </si>
  <si>
    <t>EMP1046</t>
  </si>
  <si>
    <t>EMP1487</t>
  </si>
  <si>
    <t>Tejas Sinha</t>
  </si>
  <si>
    <t>2024-03-14</t>
  </si>
  <si>
    <t>+91-7002435157</t>
  </si>
  <si>
    <t>tejas.sinha21@company.com</t>
  </si>
  <si>
    <t>EMP1022</t>
  </si>
  <si>
    <t>EMP1135</t>
  </si>
  <si>
    <t>Nitin Kumar</t>
  </si>
  <si>
    <t>2017-11-18</t>
  </si>
  <si>
    <t>+91-9493639344</t>
  </si>
  <si>
    <t>nitin.kumar43@company.com</t>
  </si>
  <si>
    <t>EMP1093</t>
  </si>
  <si>
    <t>Nikhil Pandey</t>
  </si>
  <si>
    <t>2016-02-08</t>
  </si>
  <si>
    <t>+91-8550904983</t>
  </si>
  <si>
    <t>nikhil.pandey17@company.com</t>
  </si>
  <si>
    <t>EMP1249</t>
  </si>
  <si>
    <t>Archana Bose</t>
  </si>
  <si>
    <t>2011-02-12</t>
  </si>
  <si>
    <t>+91-8595440130</t>
  </si>
  <si>
    <t>archana.bose48@company.com</t>
  </si>
  <si>
    <t>EMP1287</t>
  </si>
  <si>
    <t>ROHIT KULKARNI</t>
  </si>
  <si>
    <t>2024-10-25</t>
  </si>
  <si>
    <t>+91-8639176435</t>
  </si>
  <si>
    <t>rohit.kulkarni72@company.com</t>
  </si>
  <si>
    <t>EMP1004</t>
  </si>
  <si>
    <t>Varsha Menon</t>
  </si>
  <si>
    <t>2016-10-15</t>
  </si>
  <si>
    <t>+91-9921794983</t>
  </si>
  <si>
    <t>varsha.menon88@company.com</t>
  </si>
  <si>
    <t>EMP1021</t>
  </si>
  <si>
    <t>EMP1201</t>
  </si>
  <si>
    <t>Deepak Chopra</t>
  </si>
  <si>
    <t>2010-07-05</t>
  </si>
  <si>
    <t>+91-8604106208</t>
  </si>
  <si>
    <t>deepak.chopra93@company.com</t>
  </si>
  <si>
    <t>EMP1132</t>
  </si>
  <si>
    <t>Vishal Chopra</t>
  </si>
  <si>
    <t>18/9/2022</t>
  </si>
  <si>
    <t>+91-9943792834</t>
  </si>
  <si>
    <t>vishal.chopra14@company.com</t>
  </si>
  <si>
    <t>EMP1010</t>
  </si>
  <si>
    <t>EMP1328</t>
  </si>
  <si>
    <t>Hemant Kulkarni</t>
  </si>
  <si>
    <t>2023-11-09</t>
  </si>
  <si>
    <t>+91-7400524723</t>
  </si>
  <si>
    <t>Nisha Kapoor</t>
  </si>
  <si>
    <t>2010-11-21</t>
  </si>
  <si>
    <t>+91-8220401982</t>
  </si>
  <si>
    <t>nisha.kapoor85@company.com</t>
  </si>
  <si>
    <t>EMP1045</t>
  </si>
  <si>
    <t>Mayur Iyer</t>
  </si>
  <si>
    <t>2019-10-17</t>
  </si>
  <si>
    <t>+91-8931591531</t>
  </si>
  <si>
    <t>mayur.iyer74@company.com</t>
  </si>
  <si>
    <t>EMP1014</t>
  </si>
  <si>
    <t>EMP1270</t>
  </si>
  <si>
    <t>Ankit Sinha</t>
  </si>
  <si>
    <t>2011-03-04</t>
  </si>
  <si>
    <t>Pending</t>
  </si>
  <si>
    <t>ankit.sinha50@company.com</t>
  </si>
  <si>
    <t>EMP1183</t>
  </si>
  <si>
    <t>Yash Kapoor</t>
  </si>
  <si>
    <t>+91-8108328175</t>
  </si>
  <si>
    <t>yash.kapoor51@company.com</t>
  </si>
  <si>
    <t>EMP1110</t>
  </si>
  <si>
    <t>Geeta Kulkarni</t>
  </si>
  <si>
    <t>2024-01-26</t>
  </si>
  <si>
    <t>+91-7483264745</t>
  </si>
  <si>
    <t>geeta.kulkarni19@company.com</t>
  </si>
  <si>
    <t>EMP1317</t>
  </si>
  <si>
    <t>Rajesh Joshi</t>
  </si>
  <si>
    <t>2013-10-01</t>
  </si>
  <si>
    <t>TBD</t>
  </si>
  <si>
    <t>+91-9741859687</t>
  </si>
  <si>
    <t>rajesh.joshi31@company.com</t>
  </si>
  <si>
    <t>EMP1030</t>
  </si>
  <si>
    <t>Piyush Banerjee</t>
  </si>
  <si>
    <t>2012-02-16</t>
  </si>
  <si>
    <t>+91-9791027186</t>
  </si>
  <si>
    <t>piyush.banerjee43@company.com</t>
  </si>
  <si>
    <t>EMP1098</t>
  </si>
  <si>
    <t>EMP1306</t>
  </si>
  <si>
    <t>Archana Singh</t>
  </si>
  <si>
    <t>2016-08-22</t>
  </si>
  <si>
    <t>+91-8880100222</t>
  </si>
  <si>
    <t>archana.singh50@company.com</t>
  </si>
  <si>
    <t>EMP1373</t>
  </si>
  <si>
    <t>Anjali Patel</t>
  </si>
  <si>
    <t>2015-07-17</t>
  </si>
  <si>
    <t>+91-7428118990</t>
  </si>
  <si>
    <t>anjali.patel84@company.com</t>
  </si>
  <si>
    <t>EMP1388</t>
  </si>
  <si>
    <t>Tanvi Kapoor</t>
  </si>
  <si>
    <t>12-19-2020</t>
  </si>
  <si>
    <t>+91-9153736809</t>
  </si>
  <si>
    <t>tanvi.kapoor79@company.com</t>
  </si>
  <si>
    <t>EMP1013</t>
  </si>
  <si>
    <t>Piyush Kumar</t>
  </si>
  <si>
    <t>2014-01-04</t>
  </si>
  <si>
    <t>+91-8874297457</t>
  </si>
  <si>
    <t>piyush.kumar66@company.com</t>
  </si>
  <si>
    <t>Priya Bose</t>
  </si>
  <si>
    <t>2021-06-03</t>
  </si>
  <si>
    <t>+91-8719918855</t>
  </si>
  <si>
    <t>priya.bose51@company.com</t>
  </si>
  <si>
    <t>EMP1475</t>
  </si>
  <si>
    <t>Deepak Saxena</t>
  </si>
  <si>
    <t>2021-12-10</t>
  </si>
  <si>
    <t>+91-7786313297</t>
  </si>
  <si>
    <t>deepak.saxena64@company.com</t>
  </si>
  <si>
    <t>EMP1019</t>
  </si>
  <si>
    <t>EMP1220</t>
  </si>
  <si>
    <t>Pillai, Vishal</t>
  </si>
  <si>
    <t>2023-05-23</t>
  </si>
  <si>
    <t>+91-9093602951</t>
  </si>
  <si>
    <t>vishal.pillai73@company.com</t>
  </si>
  <si>
    <t>EMP1182</t>
  </si>
  <si>
    <t>Arjun Saxena</t>
  </si>
  <si>
    <t>2019-04-06</t>
  </si>
  <si>
    <t>917124522637</t>
  </si>
  <si>
    <t>arjun.saxena87@company.com</t>
  </si>
  <si>
    <t>EMP1445</t>
  </si>
  <si>
    <t>Nisha Patel</t>
  </si>
  <si>
    <t>2015-10-26</t>
  </si>
  <si>
    <t>+91-7726107845</t>
  </si>
  <si>
    <t>nisha.patel33@company.com</t>
  </si>
  <si>
    <t>EMP1466</t>
  </si>
  <si>
    <t>Yash Bhat</t>
  </si>
  <si>
    <t>2023/4/1</t>
  </si>
  <si>
    <t>+91-7287856644</t>
  </si>
  <si>
    <t>yash.bhat16@company.com</t>
  </si>
  <si>
    <t>Nitin Agarwal</t>
  </si>
  <si>
    <t>2020-01-02</t>
  </si>
  <si>
    <t>nitin.agarwal89@company.com</t>
  </si>
  <si>
    <t>EMP1033</t>
  </si>
  <si>
    <t>EMP1424</t>
  </si>
  <si>
    <t>Priya Tiwari</t>
  </si>
  <si>
    <t>2021-11-09</t>
  </si>
  <si>
    <t>+91-9784371073</t>
  </si>
  <si>
    <t>priya.tiwari52@company.com</t>
  </si>
  <si>
    <t>Ritu Kumar</t>
  </si>
  <si>
    <t>2020-06-20</t>
  </si>
  <si>
    <t>+91-8511763726</t>
  </si>
  <si>
    <t>ritu.kumar80@company.com</t>
  </si>
  <si>
    <t>EMP1497</t>
  </si>
  <si>
    <t>POOJA PILLAI</t>
  </si>
  <si>
    <t>2012-07-07</t>
  </si>
  <si>
    <t>+91-8329259824</t>
  </si>
  <si>
    <t>pooja.pillai89@company.com</t>
  </si>
  <si>
    <t>EMP1348</t>
  </si>
  <si>
    <t>Varsha Malhotra</t>
  </si>
  <si>
    <t>2022-02-15</t>
  </si>
  <si>
    <t>+91-8963153449</t>
  </si>
  <si>
    <t>varsha@</t>
  </si>
  <si>
    <t>Suresh Rao</t>
  </si>
  <si>
    <t>2022-02-13</t>
  </si>
  <si>
    <t>+91-8952902914</t>
  </si>
  <si>
    <t>suresh.rao42@company.com</t>
  </si>
  <si>
    <t>EMP1082</t>
  </si>
  <si>
    <t>2014/8/27</t>
  </si>
  <si>
    <t>+91-8321466224</t>
  </si>
  <si>
    <t>gaurav.reddy93@company.com</t>
  </si>
  <si>
    <t>EMP1438</t>
  </si>
  <si>
    <t>Komal Shah</t>
  </si>
  <si>
    <t>2015-08-07</t>
  </si>
  <si>
    <t>+91-8253295504</t>
  </si>
  <si>
    <t>komal.shah29@company.com</t>
  </si>
  <si>
    <t>EMP1126</t>
  </si>
  <si>
    <t>Arun Chatterjee</t>
  </si>
  <si>
    <t>2015-02-25</t>
  </si>
  <si>
    <t>+91-8964465977</t>
  </si>
  <si>
    <t>arun.chatterjee65@company.com</t>
  </si>
  <si>
    <t>EMP1176</t>
  </si>
  <si>
    <t>Agarwal, Kavya</t>
  </si>
  <si>
    <t>2021-10-19</t>
  </si>
  <si>
    <t>+91-8546998451</t>
  </si>
  <si>
    <t>kavya.agarwal12@company.com</t>
  </si>
  <si>
    <t>EMP1071</t>
  </si>
  <si>
    <t>EMP1081</t>
  </si>
  <si>
    <t>Suresh Iyer</t>
  </si>
  <si>
    <t>2014-07-12</t>
  </si>
  <si>
    <t>+91-7772781491</t>
  </si>
  <si>
    <t>suresh.iyer71ATcompany.com</t>
  </si>
  <si>
    <t>EMP1053</t>
  </si>
  <si>
    <t>Tanvi Reddy</t>
  </si>
  <si>
    <t>2023/1/8</t>
  </si>
  <si>
    <t>+91-7151885397</t>
  </si>
  <si>
    <t>tanvi.reddy92@company.com</t>
  </si>
  <si>
    <t>EMP1244</t>
  </si>
  <si>
    <t>Nisha Mishra</t>
  </si>
  <si>
    <t>2020-11-08</t>
  </si>
  <si>
    <t>+91-7592681126</t>
  </si>
  <si>
    <t>nisha.mishra53@company.com</t>
  </si>
  <si>
    <t>EMP1077</t>
  </si>
  <si>
    <t>Amit Rao</t>
  </si>
  <si>
    <t>2013-10-05</t>
  </si>
  <si>
    <t>+91-7697718498</t>
  </si>
  <si>
    <t>amit.rao73@company.com</t>
  </si>
  <si>
    <t>EMP1102</t>
  </si>
  <si>
    <t>Vivek Kumar</t>
  </si>
  <si>
    <t>2014-03-01</t>
  </si>
  <si>
    <t>+91-9025869016</t>
  </si>
  <si>
    <t>vivek.kumar99@company.com</t>
  </si>
  <si>
    <t>EMP1069</t>
  </si>
  <si>
    <t>Sneha Sinha</t>
  </si>
  <si>
    <t>2014-08-02</t>
  </si>
  <si>
    <t>+91-8403247962</t>
  </si>
  <si>
    <t>sneha.sinha23@company.com</t>
  </si>
  <si>
    <t>EMP1230</t>
  </si>
  <si>
    <t>Rao, Hemant</t>
  </si>
  <si>
    <t>2012-02-12</t>
  </si>
  <si>
    <t>+91-8868992531</t>
  </si>
  <si>
    <t>hemant.rao59@company.com</t>
  </si>
  <si>
    <t>EMP1152</t>
  </si>
  <si>
    <t>Vikram Patel</t>
  </si>
  <si>
    <t>3-28-2012</t>
  </si>
  <si>
    <t>+91-7904397668</t>
  </si>
  <si>
    <t>vikram.patel14@company.com</t>
  </si>
  <si>
    <t>EMP1016</t>
  </si>
  <si>
    <t>Aarti Rao</t>
  </si>
  <si>
    <t>2017-11-17</t>
  </si>
  <si>
    <t>+91-9631321682</t>
  </si>
  <si>
    <t>aarti.rao65@company.com</t>
  </si>
  <si>
    <t>EMP1384</t>
  </si>
  <si>
    <t>Deepak Joshi</t>
  </si>
  <si>
    <t>2010-10-13</t>
  </si>
  <si>
    <t>+91-8490016614</t>
  </si>
  <si>
    <t>deepak.joshi88@company.com</t>
  </si>
  <si>
    <t>EMP1234</t>
  </si>
  <si>
    <t>Tanvi Chatterjee</t>
  </si>
  <si>
    <t>+91-8057238139</t>
  </si>
  <si>
    <t>tanvi.chatterjee87@company.com</t>
  </si>
  <si>
    <t>EMP1336</t>
  </si>
  <si>
    <t>Rajesh Nair</t>
  </si>
  <si>
    <t>2017-05-11</t>
  </si>
  <si>
    <t>+91-8272316134</t>
  </si>
  <si>
    <t>rajesh.nair46@company.com</t>
  </si>
  <si>
    <t>EMP1064</t>
  </si>
  <si>
    <t>EMP1371</t>
  </si>
  <si>
    <t>Aarti Banerjee</t>
  </si>
  <si>
    <t>2020-02-20</t>
  </si>
  <si>
    <t>+91-7090699807</t>
  </si>
  <si>
    <t>aarti.banerjee12@company.com</t>
  </si>
  <si>
    <t>EMP1334</t>
  </si>
  <si>
    <t>Divya Kulkarni</t>
  </si>
  <si>
    <t>17/9/2024</t>
  </si>
  <si>
    <t>+91-8292777757</t>
  </si>
  <si>
    <t>divya.kulkarni97@company.com</t>
  </si>
  <si>
    <t>EMP1039</t>
  </si>
  <si>
    <t>EMP1400</t>
  </si>
  <si>
    <t>Yash Bose</t>
  </si>
  <si>
    <t>2014-12-06</t>
  </si>
  <si>
    <t>+91-9891710073</t>
  </si>
  <si>
    <t>yash.bose96@company.com</t>
  </si>
  <si>
    <t>EMP1116</t>
  </si>
  <si>
    <t>Geeta Pillai</t>
  </si>
  <si>
    <t>2024-03-22</t>
  </si>
  <si>
    <t>+91-8318921193</t>
  </si>
  <si>
    <t>geeta.pillai43@company.com</t>
  </si>
  <si>
    <t>EMP1072</t>
  </si>
  <si>
    <t>Kavya Iyer</t>
  </si>
  <si>
    <t>2013-06-21</t>
  </si>
  <si>
    <t>+91-9300537106</t>
  </si>
  <si>
    <t>kavya.iyer25@company.com</t>
  </si>
  <si>
    <t>EMP1289</t>
  </si>
  <si>
    <t>2020-04-16</t>
  </si>
  <si>
    <t>+91-7655851097</t>
  </si>
  <si>
    <t>ankit.iyer27@company.com</t>
  </si>
  <si>
    <t>EMP1285</t>
  </si>
  <si>
    <t>Sneha Shah</t>
  </si>
  <si>
    <t>2017-10-22</t>
  </si>
  <si>
    <t>+91-7013439400</t>
  </si>
  <si>
    <t>sneha@</t>
  </si>
  <si>
    <t>EMP1481</t>
  </si>
  <si>
    <t>Manish Patel</t>
  </si>
  <si>
    <t>2023-03-08</t>
  </si>
  <si>
    <t>+91-7396300853</t>
  </si>
  <si>
    <t>manish.patel74@company.com</t>
  </si>
  <si>
    <t>EMP1055</t>
  </si>
  <si>
    <t>EMP1247</t>
  </si>
  <si>
    <t>Preeti Reddy</t>
  </si>
  <si>
    <t>2019-10-23</t>
  </si>
  <si>
    <t>+91-8504686545</t>
  </si>
  <si>
    <t>preeti.reddy86@company.com</t>
  </si>
  <si>
    <t>Vikram Pillai</t>
  </si>
  <si>
    <t>2010-11-27</t>
  </si>
  <si>
    <t>+91-8135872495</t>
  </si>
  <si>
    <t>vikram.pillai14@company.com</t>
  </si>
  <si>
    <t>EMP1204</t>
  </si>
  <si>
    <t>Shweta Tiwari</t>
  </si>
  <si>
    <t>2013-11-03</t>
  </si>
  <si>
    <t>+91-9210776336</t>
  </si>
  <si>
    <t>shweta.tiwari87@company.com</t>
  </si>
  <si>
    <t>EMP1047</t>
  </si>
  <si>
    <t>EMP1242</t>
  </si>
  <si>
    <t>Sanjay Kapoor</t>
  </si>
  <si>
    <t>2010-06-09</t>
  </si>
  <si>
    <t>+91-7137310137</t>
  </si>
  <si>
    <t>sanjay.kapoor44@company.com</t>
  </si>
  <si>
    <t>Deepak Banerjee</t>
  </si>
  <si>
    <t>2022-07-27</t>
  </si>
  <si>
    <t>+91-8932625737</t>
  </si>
  <si>
    <t>deepak.banerjee67@company.com</t>
  </si>
  <si>
    <t>EMP1321</t>
  </si>
  <si>
    <t>Geeta Verma</t>
  </si>
  <si>
    <t>2020-02-12</t>
  </si>
  <si>
    <t>+91-7468662769</t>
  </si>
  <si>
    <t>geeta.verma94@company.com</t>
  </si>
  <si>
    <t>EMP1252</t>
  </si>
  <si>
    <t>Archana Mishra</t>
  </si>
  <si>
    <t>2018-06-13</t>
  </si>
  <si>
    <t>+91-7722224491</t>
  </si>
  <si>
    <t>archana.mishra24@company.com</t>
  </si>
  <si>
    <t>EMP1079</t>
  </si>
  <si>
    <t>Pallavi Gupta</t>
  </si>
  <si>
    <t>2024-09-05</t>
  </si>
  <si>
    <t>+91-8800135697</t>
  </si>
  <si>
    <t>pallavi.gupta94@company.com</t>
  </si>
  <si>
    <t>EMP1260</t>
  </si>
  <si>
    <t>Mayur Bose</t>
  </si>
  <si>
    <t>2011-11-02</t>
  </si>
  <si>
    <t>+91-7411587803</t>
  </si>
  <si>
    <t>mayur.bose53@company.com</t>
  </si>
  <si>
    <t>EMP1341</t>
  </si>
  <si>
    <t>Rohit Singh</t>
  </si>
  <si>
    <t>2018-11-28</t>
  </si>
  <si>
    <t>+91-9945420528</t>
  </si>
  <si>
    <t>rohit.singh82ATcompany.com</t>
  </si>
  <si>
    <t>EMP1032</t>
  </si>
  <si>
    <t>EMP1157</t>
  </si>
  <si>
    <t>2013-02-08</t>
  </si>
  <si>
    <t>+91-7513891087</t>
  </si>
  <si>
    <t>Nisha Saxena</t>
  </si>
  <si>
    <t>2010-01-08</t>
  </si>
  <si>
    <t>+91-7542114964</t>
  </si>
  <si>
    <t>nisha.saxena15@company.com</t>
  </si>
  <si>
    <t>EMP1248</t>
  </si>
  <si>
    <t>Shruti Kumar</t>
  </si>
  <si>
    <t>2018-07-19</t>
  </si>
  <si>
    <t>+91-9142446952</t>
  </si>
  <si>
    <t>shruti.kumar57@company.com</t>
  </si>
  <si>
    <t>EMP1451</t>
  </si>
  <si>
    <t>Tanvi Bose</t>
  </si>
  <si>
    <t>2012-10-06</t>
  </si>
  <si>
    <t>+91-8163464032</t>
  </si>
  <si>
    <t>tanvi.bose3@company.com</t>
  </si>
  <si>
    <t>EMP1063</t>
  </si>
  <si>
    <t>PIYUSH SINGH</t>
  </si>
  <si>
    <t>2016-11-04</t>
  </si>
  <si>
    <t>+91-8798842890</t>
  </si>
  <si>
    <t>piyush.singh14@company.com</t>
  </si>
  <si>
    <t>Smita Kapoor</t>
  </si>
  <si>
    <t>2017-10-23</t>
  </si>
  <si>
    <t>+91-8514230707</t>
  </si>
  <si>
    <t>smita.kapoor56@company.com</t>
  </si>
  <si>
    <t>EMP1170</t>
  </si>
  <si>
    <t>Vishal Malhotra</t>
  </si>
  <si>
    <t>2012-06-27</t>
  </si>
  <si>
    <t>+91-8766312876</t>
  </si>
  <si>
    <t>vishal.malhotra96@company.com</t>
  </si>
  <si>
    <t>EMP1305</t>
  </si>
  <si>
    <t>Rajesh Patel</t>
  </si>
  <si>
    <t>2021-08-25</t>
  </si>
  <si>
    <t>+91-8796209273</t>
  </si>
  <si>
    <t>rajesh.patel33@company.com</t>
  </si>
  <si>
    <t>EMP1060</t>
  </si>
  <si>
    <t>Karan Chopra</t>
  </si>
  <si>
    <t>2020-10-04</t>
  </si>
  <si>
    <t>+91-9395869480</t>
  </si>
  <si>
    <t>karan.chopra97@company.com</t>
  </si>
  <si>
    <t>EMP1426</t>
  </si>
  <si>
    <t>2024-05-20</t>
  </si>
  <si>
    <t>+91-8900677856</t>
  </si>
  <si>
    <t>anjali.patel32@company.com</t>
  </si>
  <si>
    <t>EMP1029</t>
  </si>
  <si>
    <t>EMP1193</t>
  </si>
  <si>
    <t>Kumar, Karan</t>
  </si>
  <si>
    <t>2022-03-04</t>
  </si>
  <si>
    <t>+91-9743541394</t>
  </si>
  <si>
    <t>karan.kumar36@company.com</t>
  </si>
  <si>
    <t>EMP1428</t>
  </si>
  <si>
    <t>Vishal Menon</t>
  </si>
  <si>
    <t>2018-04-15</t>
  </si>
  <si>
    <t>+91-9135169757</t>
  </si>
  <si>
    <t>vishal.menon9@company.com</t>
  </si>
  <si>
    <t>EMP1020</t>
  </si>
  <si>
    <t>Bhavna Mishra</t>
  </si>
  <si>
    <t>2019-02-26</t>
  </si>
  <si>
    <t>+91-9841212515</t>
  </si>
  <si>
    <t>bhavna.mishra65@company.com</t>
  </si>
  <si>
    <t>EMP1005</t>
  </si>
  <si>
    <t>Nikhil Bhat</t>
  </si>
  <si>
    <t>2010-10-11</t>
  </si>
  <si>
    <t>nikhil.bhat11@company.com</t>
  </si>
  <si>
    <t>EMP1279</t>
  </si>
  <si>
    <t>Deepak Verma</t>
  </si>
  <si>
    <t>2013-07-06</t>
  </si>
  <si>
    <t>+91-9729897436</t>
  </si>
  <si>
    <t>deepak.verma62@company.com</t>
  </si>
  <si>
    <t>EMP1111</t>
  </si>
  <si>
    <t>Sanjay Agarwal</t>
  </si>
  <si>
    <t>2010-07-11</t>
  </si>
  <si>
    <t>sanjay.agarwal36@company.com</t>
  </si>
  <si>
    <t>EMP1468</t>
  </si>
  <si>
    <t>Rohit Bose</t>
  </si>
  <si>
    <t>2010-09-15</t>
  </si>
  <si>
    <t>+91-8667212275</t>
  </si>
  <si>
    <t>rohit.bose69@company.com</t>
  </si>
  <si>
    <t>EMP1408</t>
  </si>
  <si>
    <t>Neha Chatterjee</t>
  </si>
  <si>
    <t>2020-05-18</t>
  </si>
  <si>
    <t>+91-7292074547</t>
  </si>
  <si>
    <t>neha.chatterjee90@company.com</t>
  </si>
  <si>
    <t>EMP1024</t>
  </si>
  <si>
    <t>EMP1086</t>
  </si>
  <si>
    <t>Sunita Iyer</t>
  </si>
  <si>
    <t>2024-03-18</t>
  </si>
  <si>
    <t>+91-8937034431</t>
  </si>
  <si>
    <t>sunita.iyer46@company.com</t>
  </si>
  <si>
    <t>EMP1084</t>
  </si>
  <si>
    <t>EMP1137</t>
  </si>
  <si>
    <t>Mayur Patel</t>
  </si>
  <si>
    <t>2022-03-12</t>
  </si>
  <si>
    <t>+91-7575015625</t>
  </si>
  <si>
    <t>mayur.patel66@company.com</t>
  </si>
  <si>
    <t>EMP1259</t>
  </si>
  <si>
    <t>Aarti Kumar</t>
  </si>
  <si>
    <t>2017/7/26</t>
  </si>
  <si>
    <t>+91-8023745012</t>
  </si>
  <si>
    <t>aarti.kumar7@company.com</t>
  </si>
  <si>
    <t>EMP1320</t>
  </si>
  <si>
    <t>2019-08-02</t>
  </si>
  <si>
    <t>+91-9923089394</t>
  </si>
  <si>
    <t>sanjay.joshi47@company.com</t>
  </si>
  <si>
    <t>EMP1178</t>
  </si>
  <si>
    <t>Kumar, Sanjay</t>
  </si>
  <si>
    <t>2013-12-10</t>
  </si>
  <si>
    <t>+91-9362204542</t>
  </si>
  <si>
    <t>sanjay.kumar1@company.com</t>
  </si>
  <si>
    <t>EMP1392</t>
  </si>
  <si>
    <t>Bose, Hemant</t>
  </si>
  <si>
    <t>2016-01-06</t>
  </si>
  <si>
    <t>+91-8861590344</t>
  </si>
  <si>
    <t>hemant.bose25@company.com</t>
  </si>
  <si>
    <t>EMP1490</t>
  </si>
  <si>
    <t>Sunita Chatterjee</t>
  </si>
  <si>
    <t>2023-02-04</t>
  </si>
  <si>
    <t>+91-9115909085</t>
  </si>
  <si>
    <t>sunita.chatterjee90@company.com</t>
  </si>
  <si>
    <t>EMP1206</t>
  </si>
  <si>
    <t>Geeta Kapoor</t>
  </si>
  <si>
    <t>2017-03-28</t>
  </si>
  <si>
    <t>+91-7567053223</t>
  </si>
  <si>
    <t>geeta.kapoor54@company.com</t>
  </si>
  <si>
    <t>EMP1236</t>
  </si>
  <si>
    <t>Anjali Sharma</t>
  </si>
  <si>
    <t>2011-06-17</t>
  </si>
  <si>
    <t>+91-8153110240</t>
  </si>
  <si>
    <t>anjali.sharma55@company.com</t>
  </si>
  <si>
    <t>Nitin Rao</t>
  </si>
  <si>
    <t>2010-06-26</t>
  </si>
  <si>
    <t>+91-9499255738</t>
  </si>
  <si>
    <t>nitin.rao43@company.com</t>
  </si>
  <si>
    <t>EMP1435</t>
  </si>
  <si>
    <t>Nitin Pillai</t>
  </si>
  <si>
    <t>2015-02-23</t>
  </si>
  <si>
    <t>nitin.pillai89@company.com</t>
  </si>
  <si>
    <t>EMP1495</t>
  </si>
  <si>
    <t>Komal Sinha</t>
  </si>
  <si>
    <t>2020-02-16</t>
  </si>
  <si>
    <t>+91-9456281720</t>
  </si>
  <si>
    <t>komal.sinha41@company.com</t>
  </si>
  <si>
    <t>EMP1347</t>
  </si>
  <si>
    <t>Rahul Banerjee</t>
  </si>
  <si>
    <t>2016-01-04</t>
  </si>
  <si>
    <t>+91-9348141293</t>
  </si>
  <si>
    <t>rahul.banerjee79@company.com</t>
  </si>
  <si>
    <t>Piyush Patel</t>
  </si>
  <si>
    <t>2020-04-09</t>
  </si>
  <si>
    <t>+91-8825957977</t>
  </si>
  <si>
    <t>piyush.patel29@company.com</t>
  </si>
  <si>
    <t>2020-08-28</t>
  </si>
  <si>
    <t>+91-9532200677</t>
  </si>
  <si>
    <t>bhavna.mishra45@company.com</t>
  </si>
  <si>
    <t>EMP1180</t>
  </si>
  <si>
    <t>Mayur Pillai</t>
  </si>
  <si>
    <t>2014-04-17</t>
  </si>
  <si>
    <t>+91-7868006057</t>
  </si>
  <si>
    <t>mayur.pillai57@company.com</t>
  </si>
  <si>
    <t>EMP1145</t>
  </si>
  <si>
    <t>POOJA TIWARI</t>
  </si>
  <si>
    <t>+91-9876176605</t>
  </si>
  <si>
    <t>pooja.tiwari76@company.com</t>
  </si>
  <si>
    <t>EMP1155</t>
  </si>
  <si>
    <t>Mayur Rao</t>
  </si>
  <si>
    <t>2019-08-09</t>
  </si>
  <si>
    <t>mayur.rao24@company.com</t>
  </si>
  <si>
    <t>EMP1277</t>
  </si>
  <si>
    <t>Nisha Joshi</t>
  </si>
  <si>
    <t>2019-12-01</t>
  </si>
  <si>
    <t>+91-8326494754</t>
  </si>
  <si>
    <t>nisha.joshi55@company.com</t>
  </si>
  <si>
    <t>EMP1267</t>
  </si>
  <si>
    <t>Preeti Bose</t>
  </si>
  <si>
    <t>2023-09-17</t>
  </si>
  <si>
    <t>+91-7422663925</t>
  </si>
  <si>
    <t>EMP1284</t>
  </si>
  <si>
    <t>Gupta, Vikram</t>
  </si>
  <si>
    <t>2013/9/26</t>
  </si>
  <si>
    <t>+91-9595756047</t>
  </si>
  <si>
    <t>vikram.gupta48@company.com</t>
  </si>
  <si>
    <t>EMP1439</t>
  </si>
  <si>
    <t>Ankit Reddy</t>
  </si>
  <si>
    <t>2024-02-22</t>
  </si>
  <si>
    <t>+91-9435052229</t>
  </si>
  <si>
    <t>ankit.reddy29@company.com</t>
  </si>
  <si>
    <t>EMP1151</t>
  </si>
  <si>
    <t>Nisha Nair</t>
  </si>
  <si>
    <t>2022-05-12</t>
  </si>
  <si>
    <t>+91-7336757755</t>
  </si>
  <si>
    <t>nisha.nair37@company.com</t>
  </si>
  <si>
    <t>EMP1237</t>
  </si>
  <si>
    <t>Nisha Bose</t>
  </si>
  <si>
    <t>+91-7193681143</t>
  </si>
  <si>
    <t>nisha.bose66@company.com</t>
  </si>
  <si>
    <t>EMP1369</t>
  </si>
  <si>
    <t>Pooja Chopra</t>
  </si>
  <si>
    <t>2019-07-21</t>
  </si>
  <si>
    <t>+91-8288922118</t>
  </si>
  <si>
    <t>pooja.chopra38@company.com</t>
  </si>
  <si>
    <t>EMP1038</t>
  </si>
  <si>
    <t>EMP1223</t>
  </si>
  <si>
    <t>Sneha Iyer</t>
  </si>
  <si>
    <t>2023-05-17</t>
  </si>
  <si>
    <t>+91-7859324105</t>
  </si>
  <si>
    <t>sneha.iyer33@company.com</t>
  </si>
  <si>
    <t>EMP1091</t>
  </si>
  <si>
    <t>EMP1381</t>
  </si>
  <si>
    <t>Swati Nair</t>
  </si>
  <si>
    <t>2022-09-26</t>
  </si>
  <si>
    <t>+91-7759812661</t>
  </si>
  <si>
    <t>swati.nair17@company.com</t>
  </si>
  <si>
    <t>EMP1041</t>
  </si>
  <si>
    <t>EMP1463</t>
  </si>
  <si>
    <t>Divya Agarwal</t>
  </si>
  <si>
    <t>2014-06-03</t>
  </si>
  <si>
    <t>+91-7703922444</t>
  </si>
  <si>
    <t>divya.agarwal48@company.com</t>
  </si>
  <si>
    <t>ANKIT SINGH</t>
  </si>
  <si>
    <t>2018-12-27</t>
  </si>
  <si>
    <t>+91-9417427624</t>
  </si>
  <si>
    <t>ankit.singh21@company.com</t>
  </si>
  <si>
    <t>EMP1070</t>
  </si>
  <si>
    <t>EMP1188</t>
  </si>
  <si>
    <t>MANISH JOSHI</t>
  </si>
  <si>
    <t>2011-10-16</t>
  </si>
  <si>
    <t>+91-8200101356</t>
  </si>
  <si>
    <t>manish.joshi11@company.com</t>
  </si>
  <si>
    <t>EMP1226</t>
  </si>
  <si>
    <t>Sunita Singh</t>
  </si>
  <si>
    <t>2021-12-08</t>
  </si>
  <si>
    <t>+91-7919589589</t>
  </si>
  <si>
    <t>sunita.singh57@company.com</t>
  </si>
  <si>
    <t>EMP1433</t>
  </si>
  <si>
    <t>Piyush Pillai</t>
  </si>
  <si>
    <t>+91-9264897266</t>
  </si>
  <si>
    <t>piyush.pillai90@company.com</t>
  </si>
  <si>
    <t>Suresh Verma</t>
  </si>
  <si>
    <t>2011-05-08</t>
  </si>
  <si>
    <t>+91-8963288053</t>
  </si>
  <si>
    <t>suresh.verma64@company.com</t>
  </si>
  <si>
    <t>EMP1124</t>
  </si>
  <si>
    <t>Nikhil Rao</t>
  </si>
  <si>
    <t>2013-06-09</t>
  </si>
  <si>
    <t>+91-8732061472</t>
  </si>
  <si>
    <t>nikhil.rao11@company.com</t>
  </si>
  <si>
    <t>EMP1453</t>
  </si>
  <si>
    <t>Patel, Gaurav</t>
  </si>
  <si>
    <t>2015-12-07</t>
  </si>
  <si>
    <t>+91-7983232694</t>
  </si>
  <si>
    <t>gaurav.patel79@company.com</t>
  </si>
  <si>
    <t>EMP1066</t>
  </si>
  <si>
    <t>Amit Bose</t>
  </si>
  <si>
    <t>2019-06-18</t>
  </si>
  <si>
    <t>+91-8242676804</t>
  </si>
  <si>
    <t>amit.bose66@company.com</t>
  </si>
  <si>
    <t>EMP1227</t>
  </si>
  <si>
    <t>Gaurav Malhotra</t>
  </si>
  <si>
    <t>2021-11-08</t>
  </si>
  <si>
    <t>+91-9943119201</t>
  </si>
  <si>
    <t>gaurav.malhotra31@company.com</t>
  </si>
  <si>
    <t>EMP1325</t>
  </si>
  <si>
    <t>Ritu Shah</t>
  </si>
  <si>
    <t>2017-07-14</t>
  </si>
  <si>
    <t>+91-7486963383</t>
  </si>
  <si>
    <t>ritu.shah59@company.com</t>
  </si>
  <si>
    <t>EMP1250</t>
  </si>
  <si>
    <t>Meera Bhat</t>
  </si>
  <si>
    <t>2015-07-16</t>
  </si>
  <si>
    <t>+91-9167944263</t>
  </si>
  <si>
    <t>meera.bhat98@company.com</t>
  </si>
  <si>
    <t>EMP1198</t>
  </si>
  <si>
    <t>Deepak Kulkarni</t>
  </si>
  <si>
    <t>2011-05-05</t>
  </si>
  <si>
    <t>+91-7708695913</t>
  </si>
  <si>
    <t>EMP1239</t>
  </si>
  <si>
    <t>Aarti Agarwal</t>
  </si>
  <si>
    <t>+91-9688903570</t>
  </si>
  <si>
    <t>aarti.agarwal69@company.com</t>
  </si>
  <si>
    <t>EMP1197</t>
  </si>
  <si>
    <t>Swati Malhotra</t>
  </si>
  <si>
    <t>2019-01-08</t>
  </si>
  <si>
    <t>+91-8320003795</t>
  </si>
  <si>
    <t>swati.malhotra13@company.com</t>
  </si>
  <si>
    <t>Nikhil Kapoor</t>
  </si>
  <si>
    <t>2018-03-11</t>
  </si>
  <si>
    <t>+91-9704799972</t>
  </si>
  <si>
    <t>nikhil.kapoor82@company.com</t>
  </si>
  <si>
    <t>EMP1318</t>
  </si>
  <si>
    <t>Iyer, Anjali</t>
  </si>
  <si>
    <t>2016-12-17</t>
  </si>
  <si>
    <t>+91-9518389281</t>
  </si>
  <si>
    <t>anjali.iyer5@company.com</t>
  </si>
  <si>
    <t>EMP1496</t>
  </si>
  <si>
    <t>KARAN SHARMA</t>
  </si>
  <si>
    <t>2010-09-28</t>
  </si>
  <si>
    <t>+91-9133033653</t>
  </si>
  <si>
    <t>karan.sharma28@company.com</t>
  </si>
  <si>
    <t>EMP1351</t>
  </si>
  <si>
    <t>2018-04-03</t>
  </si>
  <si>
    <t>+91-7022489686</t>
  </si>
  <si>
    <t>priya.sinha53@company.com</t>
  </si>
  <si>
    <t>EMP1214</t>
  </si>
  <si>
    <t>Smita Kulkarni</t>
  </si>
  <si>
    <t>2015-05-23</t>
  </si>
  <si>
    <t>+91-9246788040</t>
  </si>
  <si>
    <t>smita.kulkarni44@company.com</t>
  </si>
  <si>
    <t>EMP1335</t>
  </si>
  <si>
    <t>2016-04-06</t>
  </si>
  <si>
    <t>+91-7021222966</t>
  </si>
  <si>
    <t>tanvi.chatterjee7@company.com</t>
  </si>
  <si>
    <t>EMP1161</t>
  </si>
  <si>
    <t>Mayur Verma</t>
  </si>
  <si>
    <t>2018-02-04</t>
  </si>
  <si>
    <t>+91-9259977516</t>
  </si>
  <si>
    <t>mayur.verma73@company.com</t>
  </si>
  <si>
    <t>Swati Kapoor</t>
  </si>
  <si>
    <t>2013-06-25</t>
  </si>
  <si>
    <t>+91-7331421524</t>
  </si>
  <si>
    <t>swati.kapoor13@company.com</t>
  </si>
  <si>
    <t>EMP1413</t>
  </si>
  <si>
    <t>Shweta Chatterjee</t>
  </si>
  <si>
    <t>2014-04-23</t>
  </si>
  <si>
    <t>+91-8179896787</t>
  </si>
  <si>
    <t>EMP1274</t>
  </si>
  <si>
    <t>Sunita Kapoor</t>
  </si>
  <si>
    <t>2014-03-15</t>
  </si>
  <si>
    <t>+91-7928428037</t>
  </si>
  <si>
    <t>sunita.kapoor7@company.com</t>
  </si>
  <si>
    <t>EMP1447</t>
  </si>
  <si>
    <t>2019-04-25</t>
  </si>
  <si>
    <t>+91-9651973404</t>
  </si>
  <si>
    <t>nikhil.nair75@company.com</t>
  </si>
  <si>
    <t>EMP1494</t>
  </si>
  <si>
    <t>Arun Nair</t>
  </si>
  <si>
    <t>2021-06-26</t>
  </si>
  <si>
    <t>+91-7866351732</t>
  </si>
  <si>
    <t>arun.nair43@company.com</t>
  </si>
  <si>
    <t>EMP1143</t>
  </si>
  <si>
    <t>Rahul Menon</t>
  </si>
  <si>
    <t>2019-05-22</t>
  </si>
  <si>
    <t>+91-9072183247</t>
  </si>
  <si>
    <t>rahul.menon72@company.com</t>
  </si>
  <si>
    <t>EMP1406</t>
  </si>
  <si>
    <t>Vivek Saxena</t>
  </si>
  <si>
    <t>2016-01-25</t>
  </si>
  <si>
    <t>+91-9773658566</t>
  </si>
  <si>
    <t>vivek.saxena59@company.com</t>
  </si>
  <si>
    <t>EMP1311</t>
  </si>
  <si>
    <t>Amit Singh</t>
  </si>
  <si>
    <t>2020-07-22</t>
  </si>
  <si>
    <t>+91-7964316616</t>
  </si>
  <si>
    <t>amit.singh37@company.com</t>
  </si>
  <si>
    <t>Nitin Malhotra</t>
  </si>
  <si>
    <t>2014-05-23</t>
  </si>
  <si>
    <t>+91-9407275865</t>
  </si>
  <si>
    <t>nitin.malhotra93@company.com</t>
  </si>
  <si>
    <t>EMP1385</t>
  </si>
  <si>
    <t>Bhavna Kumar</t>
  </si>
  <si>
    <t>2015-12-04</t>
  </si>
  <si>
    <t>+91-8437579139</t>
  </si>
  <si>
    <t>bhavna.kumar13@company.com</t>
  </si>
  <si>
    <t>EMP1393</t>
  </si>
  <si>
    <t>Shweta Menon</t>
  </si>
  <si>
    <t>2016-11-05</t>
  </si>
  <si>
    <t>+91-7417246206</t>
  </si>
  <si>
    <t>shweta.menon3@company.com</t>
  </si>
  <si>
    <t>EMP1054</t>
  </si>
  <si>
    <t>EMP1391</t>
  </si>
  <si>
    <t>Sneha Bhat</t>
  </si>
  <si>
    <t>24-6-2011</t>
  </si>
  <si>
    <t>+91-7406186139</t>
  </si>
  <si>
    <t>sneha.bhat19@company.com</t>
  </si>
  <si>
    <t>EMP1340</t>
  </si>
  <si>
    <t>Meera Agarwal</t>
  </si>
  <si>
    <t>2014-02-06</t>
  </si>
  <si>
    <t>918063049197</t>
  </si>
  <si>
    <t>Pallavi Mehta</t>
  </si>
  <si>
    <t>2024-02-15</t>
  </si>
  <si>
    <t>+91-9185588660</t>
  </si>
  <si>
    <t>pallavi.mehta54@company.com</t>
  </si>
  <si>
    <t>EMP1444</t>
  </si>
  <si>
    <t>Kavya Joshi</t>
  </si>
  <si>
    <t>2024-07-16</t>
  </si>
  <si>
    <t>+91-9955459324</t>
  </si>
  <si>
    <t>kavya.joshi47@company.com</t>
  </si>
  <si>
    <t>Sunita Mishra</t>
  </si>
  <si>
    <t>2012-03-08</t>
  </si>
  <si>
    <t>+91-8781844052</t>
  </si>
  <si>
    <t>sunita.mishra70@company.com</t>
  </si>
  <si>
    <t>Pallavi Joshi</t>
  </si>
  <si>
    <t>2010-10-18</t>
  </si>
  <si>
    <t>+91-7983297492</t>
  </si>
  <si>
    <t>pallavi.joshi5@company.com</t>
  </si>
  <si>
    <t>EMP1478</t>
  </si>
  <si>
    <t>2010-04-22</t>
  </si>
  <si>
    <t>+91-8916264973</t>
  </si>
  <si>
    <t>varsha.pandey13@company.com</t>
  </si>
  <si>
    <t>EMP1192</t>
  </si>
  <si>
    <t>Vishal Tiwari</t>
  </si>
  <si>
    <t>2020-10-25</t>
  </si>
  <si>
    <t>+91-8345483676</t>
  </si>
  <si>
    <t>Arun Malhotra</t>
  </si>
  <si>
    <t>2013-12-21</t>
  </si>
  <si>
    <t>+91-7581923103</t>
  </si>
  <si>
    <t>arun.malhotra51@company.com</t>
  </si>
  <si>
    <t>EMP1205</t>
  </si>
  <si>
    <t>Pallavi Kapoor</t>
  </si>
  <si>
    <t>2024-05-17</t>
  </si>
  <si>
    <t>+91-8482736884</t>
  </si>
  <si>
    <t>pallavi.kapoor65@company.com</t>
  </si>
  <si>
    <t>EMP1133</t>
  </si>
  <si>
    <t>Kavya Sharma</t>
  </si>
  <si>
    <t>2015-01-13</t>
  </si>
  <si>
    <t>+91-7271603383</t>
  </si>
  <si>
    <t>EMP1169</t>
  </si>
  <si>
    <t>Meera Rao</t>
  </si>
  <si>
    <t>2011-12-13</t>
  </si>
  <si>
    <t>+91-8792433036</t>
  </si>
  <si>
    <t>meera.rao20@company.com</t>
  </si>
  <si>
    <t>EMP1375</t>
  </si>
  <si>
    <t>Hemant Saxena</t>
  </si>
  <si>
    <t>2018-08-18</t>
  </si>
  <si>
    <t>+91-9209464812</t>
  </si>
  <si>
    <t>hemant.saxena95@company.com</t>
  </si>
  <si>
    <t>EMP1002</t>
  </si>
  <si>
    <t>EMP1366</t>
  </si>
  <si>
    <t>Divya Saxena</t>
  </si>
  <si>
    <t>2024-12-07</t>
  </si>
  <si>
    <t>+91-8350197673</t>
  </si>
  <si>
    <t>divya.saxena37@company.com</t>
  </si>
  <si>
    <t>EMP1034</t>
  </si>
  <si>
    <t>EMP1344</t>
  </si>
  <si>
    <t>Amit Chatterjee</t>
  </si>
  <si>
    <t>2022-10-05</t>
  </si>
  <si>
    <t>+91-9380630664</t>
  </si>
  <si>
    <t>amit.chatterjee40@company.com</t>
  </si>
  <si>
    <t>EMP1367</t>
  </si>
  <si>
    <t>Tejas Singh</t>
  </si>
  <si>
    <t>2019-07-24</t>
  </si>
  <si>
    <t>+91-7470792319</t>
  </si>
  <si>
    <t>tejas.singh16@company.com</t>
  </si>
  <si>
    <t>EMP1345</t>
  </si>
  <si>
    <t>Rekha Bose</t>
  </si>
  <si>
    <t>2022-07-03</t>
  </si>
  <si>
    <t>+91-9492465821</t>
  </si>
  <si>
    <t>rekha.bose17@company.com</t>
  </si>
  <si>
    <t>EMP1134</t>
  </si>
  <si>
    <t>2024-12-21</t>
  </si>
  <si>
    <t>+91-7607196157</t>
  </si>
  <si>
    <t>tejas.sinha1@company.com</t>
  </si>
  <si>
    <t>EMP1343</t>
  </si>
  <si>
    <t>+91-9857553395</t>
  </si>
  <si>
    <t>komal.pillai72@company.com</t>
  </si>
  <si>
    <t>EMP1417</t>
  </si>
  <si>
    <t>Joshi, Deepak</t>
  </si>
  <si>
    <t>2019-07-15</t>
  </si>
  <si>
    <t>+91-8889197205</t>
  </si>
  <si>
    <t>deepak.joshi36@company.com</t>
  </si>
  <si>
    <t>EMP1258</t>
  </si>
  <si>
    <t>Vikram Mehta</t>
  </si>
  <si>
    <t>2010-06-14</t>
  </si>
  <si>
    <t>+91-9003974746</t>
  </si>
  <si>
    <t>vikram.mehta67@company.com</t>
  </si>
  <si>
    <t>Suresh Agarwal</t>
  </si>
  <si>
    <t>2015-09-25</t>
  </si>
  <si>
    <t>+91-9995732958</t>
  </si>
  <si>
    <t>suresh.agarwal50@company.com</t>
  </si>
  <si>
    <t>EMP1049</t>
  </si>
  <si>
    <t>Tanvi Tiwari</t>
  </si>
  <si>
    <t>2019-11-19</t>
  </si>
  <si>
    <t>+91-9278724262</t>
  </si>
  <si>
    <t>tanvi.tiwari65@company.com</t>
  </si>
  <si>
    <t>EMP1240</t>
  </si>
  <si>
    <t>Varsha Kapoor</t>
  </si>
  <si>
    <t>2021-07-14</t>
  </si>
  <si>
    <t>918716614138</t>
  </si>
  <si>
    <t>varsha.kapoor66@company.com</t>
  </si>
  <si>
    <t>EMP1165</t>
  </si>
  <si>
    <t>Alok Kapoor</t>
  </si>
  <si>
    <t>2010-09-13</t>
  </si>
  <si>
    <t>+91-7579265528</t>
  </si>
  <si>
    <t>alok.kapoor26@company.com</t>
  </si>
  <si>
    <t>EMP1355</t>
  </si>
  <si>
    <t>Sachin Singh</t>
  </si>
  <si>
    <t>19/9/2022</t>
  </si>
  <si>
    <t>+91-7243329601</t>
  </si>
  <si>
    <t>sachin.singh24@company.com</t>
  </si>
  <si>
    <t>EMP1353</t>
  </si>
  <si>
    <t>Alok Iyer</t>
  </si>
  <si>
    <t>2013-09-27</t>
  </si>
  <si>
    <t>+91-9421743905</t>
  </si>
  <si>
    <t>alok.iyer90@company.com</t>
  </si>
  <si>
    <t>EMP1275</t>
  </si>
  <si>
    <t>Rahul Verma</t>
  </si>
  <si>
    <t>2024-02-26</t>
  </si>
  <si>
    <t>+91-8785332041</t>
  </si>
  <si>
    <t>rahul.verma42@company.com</t>
  </si>
  <si>
    <t>EMP1442</t>
  </si>
  <si>
    <t>Swati Bose</t>
  </si>
  <si>
    <t>2017-01-23</t>
  </si>
  <si>
    <t>+91-9923284290</t>
  </si>
  <si>
    <t>swati.bose20@company.com</t>
  </si>
  <si>
    <t>EMP1370</t>
  </si>
  <si>
    <t>Neha Bhat</t>
  </si>
  <si>
    <t>2012-08-27</t>
  </si>
  <si>
    <t>+91-7124393191</t>
  </si>
  <si>
    <t>neha.bhat65@company.com</t>
  </si>
  <si>
    <t>EMP1087</t>
  </si>
  <si>
    <t>EMP1301</t>
  </si>
  <si>
    <t>Aarti Shah</t>
  </si>
  <si>
    <t>2012-07-14</t>
  </si>
  <si>
    <t>+91-9058556284</t>
  </si>
  <si>
    <t>aarti.shah35@company.com</t>
  </si>
  <si>
    <t>EMP1166</t>
  </si>
  <si>
    <t>2015-10-27</t>
  </si>
  <si>
    <t>+91-7192747606</t>
  </si>
  <si>
    <t>divya.saxena30@company.com</t>
  </si>
  <si>
    <t>EMP1121</t>
  </si>
  <si>
    <t>Rekha Kumar</t>
  </si>
  <si>
    <t>2020-08-05</t>
  </si>
  <si>
    <t>+91-8099048201</t>
  </si>
  <si>
    <t>rekha.kumar59@company.com</t>
  </si>
  <si>
    <t>EMP1398</t>
  </si>
  <si>
    <t>Ankit Bose</t>
  </si>
  <si>
    <t>2018-08-28</t>
  </si>
  <si>
    <t>+91-7519613607</t>
  </si>
  <si>
    <t>ankit.bose78@company.com</t>
  </si>
  <si>
    <t>EMP1331</t>
  </si>
  <si>
    <t>2020-05-15</t>
  </si>
  <si>
    <t>+91-7829161660</t>
  </si>
  <si>
    <t>kavya.kumar26@company.com</t>
  </si>
  <si>
    <t>EMP1225</t>
  </si>
  <si>
    <t>Priya Rao</t>
  </si>
  <si>
    <t>28-11-2012</t>
  </si>
  <si>
    <t>+91-8348210721</t>
  </si>
  <si>
    <t>priya.rao9@company.com</t>
  </si>
  <si>
    <t>EMP1113</t>
  </si>
  <si>
    <t>Alok Desai</t>
  </si>
  <si>
    <t>2024-05-24</t>
  </si>
  <si>
    <t>+91-7213249628</t>
  </si>
  <si>
    <t>alok.desai74@company.com</t>
  </si>
  <si>
    <t>EMP1246</t>
  </si>
  <si>
    <t>Kavya Kapoor</t>
  </si>
  <si>
    <t>2024-03-17</t>
  </si>
  <si>
    <t>+91-9369902176</t>
  </si>
  <si>
    <t>kavya.kapoor44@company.com</t>
  </si>
  <si>
    <t>Tejas Gupta</t>
  </si>
  <si>
    <t>2015-01-16</t>
  </si>
  <si>
    <t>+91-7498513988</t>
  </si>
  <si>
    <t>tejas.gupta94@company.com</t>
  </si>
  <si>
    <t>EMP1139</t>
  </si>
  <si>
    <t>Rajesh Shah</t>
  </si>
  <si>
    <t>2018-03-15</t>
  </si>
  <si>
    <t>+91-7908459040</t>
  </si>
  <si>
    <t>rajesh.shah21@company.com</t>
  </si>
  <si>
    <t>EMP1304</t>
  </si>
  <si>
    <t>Nitin Kapoor</t>
  </si>
  <si>
    <t>2017-06-11</t>
  </si>
  <si>
    <t>+91-7559668981</t>
  </si>
  <si>
    <t>nitin.kapoor95@company.com</t>
  </si>
  <si>
    <t>EMP1421</t>
  </si>
  <si>
    <t>2018-12-20</t>
  </si>
  <si>
    <t>+91-8168672561</t>
  </si>
  <si>
    <t>kavya.kumar6@company.com</t>
  </si>
  <si>
    <t>EMP1372</t>
  </si>
  <si>
    <t>Vishal Kumar</t>
  </si>
  <si>
    <t>2023-01-25</t>
  </si>
  <si>
    <t>+91-7181613409</t>
  </si>
  <si>
    <t>EMP1103</t>
  </si>
  <si>
    <t>Varsha Verma</t>
  </si>
  <si>
    <t>2019-10-05</t>
  </si>
  <si>
    <t>+91-9328407443</t>
  </si>
  <si>
    <t>EMP1231</t>
  </si>
  <si>
    <t>Smita Desai</t>
  </si>
  <si>
    <t>2024-04-12</t>
  </si>
  <si>
    <t>+91-7572110839</t>
  </si>
  <si>
    <t>smita.desai89@company.com</t>
  </si>
  <si>
    <t>EMP1115</t>
  </si>
  <si>
    <t>Geeta Singh</t>
  </si>
  <si>
    <t>2019-07-22</t>
  </si>
  <si>
    <t>+91-8269612255</t>
  </si>
  <si>
    <t>geeta.singh54@company.com</t>
  </si>
  <si>
    <t>EMP1156</t>
  </si>
  <si>
    <t>Smita Kumar</t>
  </si>
  <si>
    <t>2017-03-07</t>
  </si>
  <si>
    <t>+91-7523820885</t>
  </si>
  <si>
    <t>smita.kumar92@company.com</t>
  </si>
  <si>
    <t>EMP1179</t>
  </si>
  <si>
    <t>2010-09-10</t>
  </si>
  <si>
    <t>+91-7894480510</t>
  </si>
  <si>
    <t>nisha.sinha43@company.com</t>
  </si>
  <si>
    <t>EMP1233</t>
  </si>
  <si>
    <t>Divya Chopra</t>
  </si>
  <si>
    <t>2020-11-26</t>
  </si>
  <si>
    <t>divya.chopra91@company.com</t>
  </si>
  <si>
    <t>Karan Sinha</t>
  </si>
  <si>
    <t>2023-09-12</t>
  </si>
  <si>
    <t>+91-8953291127</t>
  </si>
  <si>
    <t>karan.sinha96@company.com</t>
  </si>
  <si>
    <t>EMP1498</t>
  </si>
  <si>
    <t>Bhavna Banerjee</t>
  </si>
  <si>
    <t>2012-07-26</t>
  </si>
  <si>
    <t>+91-7371189092</t>
  </si>
  <si>
    <t>bhavna.banerjee21@company.com</t>
  </si>
  <si>
    <t>EMP1243</t>
  </si>
  <si>
    <t>Bhavna Bhat</t>
  </si>
  <si>
    <t>2023-02-27</t>
  </si>
  <si>
    <t>+91-7882127124</t>
  </si>
  <si>
    <t>bhavna.bhat21@company.com</t>
  </si>
  <si>
    <t>EMP1399</t>
  </si>
  <si>
    <t>Saxena, Nikhil</t>
  </si>
  <si>
    <t>2021-03-12</t>
  </si>
  <si>
    <t>+91-9072712577</t>
  </si>
  <si>
    <t>nikhil.saxena13@company.com</t>
  </si>
  <si>
    <t>EMP1219</t>
  </si>
  <si>
    <t>Smita Reddy</t>
  </si>
  <si>
    <t>2019-11-11</t>
  </si>
  <si>
    <t>+91-9839319571</t>
  </si>
  <si>
    <t>smita.reddy99@company.com</t>
  </si>
  <si>
    <t>Piyush Bhat</t>
  </si>
  <si>
    <t>2010-01-23</t>
  </si>
  <si>
    <t>+91-9980840461</t>
  </si>
  <si>
    <t>piyush.bhat10@company.com</t>
  </si>
  <si>
    <t>EMP1195</t>
  </si>
  <si>
    <t>Vishal Reddy</t>
  </si>
  <si>
    <t>2010-11-12</t>
  </si>
  <si>
    <t>vishal.reddy21@company.com</t>
  </si>
  <si>
    <t>EMP1488</t>
  </si>
  <si>
    <t>Smita Singh</t>
  </si>
  <si>
    <t>2020-12-19</t>
  </si>
  <si>
    <t>+91-7971516837</t>
  </si>
  <si>
    <t>smita.singh56@company.com</t>
  </si>
  <si>
    <t>2014-07-15</t>
  </si>
  <si>
    <t>+91-9202530266</t>
  </si>
  <si>
    <t>piyush.pillai60@company.com</t>
  </si>
  <si>
    <t>EMP1361</t>
  </si>
  <si>
    <t>Amit Pandey</t>
  </si>
  <si>
    <t>2010-06-20</t>
  </si>
  <si>
    <t>+91-9021576811</t>
  </si>
  <si>
    <t>amit.pandey38@company.com</t>
  </si>
  <si>
    <t>EMP1324</t>
  </si>
  <si>
    <t>Kavya Gupta</t>
  </si>
  <si>
    <t>2016-05-17</t>
  </si>
  <si>
    <t>+91-9724267917</t>
  </si>
  <si>
    <t>kavya.gupta75@company.com</t>
  </si>
  <si>
    <t>EMP1322</t>
  </si>
  <si>
    <t>Ankit Chatterjee</t>
  </si>
  <si>
    <t>2016-01-26</t>
  </si>
  <si>
    <t>+91-7232261179</t>
  </si>
  <si>
    <t>ankit.chatterjee3@company.com</t>
  </si>
  <si>
    <t>EMP1105</t>
  </si>
  <si>
    <t>Pooja Desai</t>
  </si>
  <si>
    <t>2019-02-16</t>
  </si>
  <si>
    <t>+91-7721070971</t>
  </si>
  <si>
    <t>pooja.desai12@company.com</t>
  </si>
  <si>
    <t>EMP1149</t>
  </si>
  <si>
    <t>Vishal Verma</t>
  </si>
  <si>
    <t>2015-10-28</t>
  </si>
  <si>
    <t>+91-9024412906</t>
  </si>
  <si>
    <t>vishal.verma44@company.com</t>
  </si>
  <si>
    <t>EMP1480</t>
  </si>
  <si>
    <t>Geeta Sinha</t>
  </si>
  <si>
    <t>2016-05-12</t>
  </si>
  <si>
    <t>+91-9055273936</t>
  </si>
  <si>
    <t>geeta.sinha29@company.com</t>
  </si>
  <si>
    <t>EMP1235</t>
  </si>
  <si>
    <t>+91-8388008205</t>
  </si>
  <si>
    <t>kavya.sharma96@company.com</t>
  </si>
  <si>
    <t>EMP1376</t>
  </si>
  <si>
    <t>Varsha Singh</t>
  </si>
  <si>
    <t>2014-12-22</t>
  </si>
  <si>
    <t>+91-9421547141</t>
  </si>
  <si>
    <t>varsha.singh19@company.com</t>
  </si>
  <si>
    <t>Mayur Nair</t>
  </si>
  <si>
    <t>2023-05-07</t>
  </si>
  <si>
    <t>+91-9456389272</t>
  </si>
  <si>
    <t>mayur.nair38@company.com</t>
  </si>
  <si>
    <t>EMP1412</t>
  </si>
  <si>
    <t>Priya Mehta</t>
  </si>
  <si>
    <t>2023-02-03</t>
  </si>
  <si>
    <t>+91-7522713644</t>
  </si>
  <si>
    <t>priya.mehta27@company.com</t>
  </si>
  <si>
    <t>EMP1238</t>
  </si>
  <si>
    <t>Reddy, Bhavna</t>
  </si>
  <si>
    <t>2017-10-26</t>
  </si>
  <si>
    <t>+91-9594387328</t>
  </si>
  <si>
    <t>bhavna.reddy87@company.com</t>
  </si>
  <si>
    <t>EMP1222</t>
  </si>
  <si>
    <t>ARUN SHARMA</t>
  </si>
  <si>
    <t>2022-08-04</t>
  </si>
  <si>
    <t>+91-9866407741</t>
  </si>
  <si>
    <t>arun.sharma79@company.com</t>
  </si>
  <si>
    <t>EMP1326</t>
  </si>
  <si>
    <t>Preeti Tiwari</t>
  </si>
  <si>
    <t>2020-05-28</t>
  </si>
  <si>
    <t>+91-8636725415</t>
  </si>
  <si>
    <t>preeti.tiwari61@company.com</t>
  </si>
  <si>
    <t>EMP1346</t>
  </si>
  <si>
    <t>Rahul Bose</t>
  </si>
  <si>
    <t>2023-01-04</t>
  </si>
  <si>
    <t>+91-7880745100</t>
  </si>
  <si>
    <t>rahul.bose72@company.com</t>
  </si>
  <si>
    <t>EMP1459</t>
  </si>
  <si>
    <t>Divya Pillai</t>
  </si>
  <si>
    <t>2019-11-22</t>
  </si>
  <si>
    <t>+91-7178928721</t>
  </si>
  <si>
    <t>divya.pillai14@company.com</t>
  </si>
  <si>
    <t>EMP1224</t>
  </si>
  <si>
    <t>Pooja Menon</t>
  </si>
  <si>
    <t>2012-12-22</t>
  </si>
  <si>
    <t>+91-9722697824</t>
  </si>
  <si>
    <t>pooja.menon53@company.com</t>
  </si>
  <si>
    <t>EMP1479</t>
  </si>
  <si>
    <t>Priya Pillai</t>
  </si>
  <si>
    <t>2021-02-20</t>
  </si>
  <si>
    <t>+91-7889620495</t>
  </si>
  <si>
    <t>priya.pillai46@company.com</t>
  </si>
  <si>
    <t>EMP1300</t>
  </si>
  <si>
    <t>Rahul Chopra</t>
  </si>
  <si>
    <t>2024-12-06</t>
  </si>
  <si>
    <t>+91-7848446906</t>
  </si>
  <si>
    <t>rahul.chopra66@company.com</t>
  </si>
  <si>
    <t>EMP1251</t>
  </si>
  <si>
    <t>Rajesh Rao</t>
  </si>
  <si>
    <t>2013-10-18</t>
  </si>
  <si>
    <t>+91-7813449059</t>
  </si>
  <si>
    <t>rajesh.rao65@company.com</t>
  </si>
  <si>
    <t>EMP1125</t>
  </si>
  <si>
    <t>PRIYA SINGH</t>
  </si>
  <si>
    <t>+91-8943612110</t>
  </si>
  <si>
    <t>priya.singh98@company.com</t>
  </si>
  <si>
    <t>EMP1429</t>
  </si>
  <si>
    <t>Archana Mehta</t>
  </si>
  <si>
    <t>2018-12-22</t>
  </si>
  <si>
    <t>+91-8748661598</t>
  </si>
  <si>
    <t>archana.mehta70@company.com</t>
  </si>
  <si>
    <t>EMP1181</t>
  </si>
  <si>
    <t>Rekha Iyer</t>
  </si>
  <si>
    <t>2023-10-28</t>
  </si>
  <si>
    <t>+91-9235864235</t>
  </si>
  <si>
    <t>rekha.iyer96@company.com</t>
  </si>
  <si>
    <t>EMP1319</t>
  </si>
  <si>
    <t>Geeta Tiwari</t>
  </si>
  <si>
    <t>2013-04-20</t>
  </si>
  <si>
    <t>+91-7418355752</t>
  </si>
  <si>
    <t>geeta.tiwari19@company.com</t>
  </si>
  <si>
    <t>Vikram Mishra</t>
  </si>
  <si>
    <t>2019-08-22</t>
  </si>
  <si>
    <t>vikram.mishra3@company.com</t>
  </si>
  <si>
    <t>EMP1104</t>
  </si>
  <si>
    <t>Suresh Gupta</t>
  </si>
  <si>
    <t>2016-10-04</t>
  </si>
  <si>
    <t>+91-8876335418</t>
  </si>
  <si>
    <t>suresh.gupta63@company.com</t>
  </si>
  <si>
    <t>EMP1228</t>
  </si>
  <si>
    <t>Tejas Rao</t>
  </si>
  <si>
    <t>2021-07-27</t>
  </si>
  <si>
    <t>+91-7285045092</t>
  </si>
  <si>
    <t>tejas.rao78@company.com</t>
  </si>
  <si>
    <t>EMP1141</t>
  </si>
  <si>
    <t>Vivek Pandey</t>
  </si>
  <si>
    <t>2013-09-28</t>
  </si>
  <si>
    <t>+91-7413599241</t>
  </si>
  <si>
    <t>vivek.pandey79@company.com</t>
  </si>
  <si>
    <t>EMP1266</t>
  </si>
  <si>
    <t>2013-07-07</t>
  </si>
  <si>
    <t>+91-8093194763</t>
  </si>
  <si>
    <t>shweta.chatterjee18@company.com</t>
  </si>
  <si>
    <t>EMP1194</t>
  </si>
  <si>
    <t>Sneha Desai</t>
  </si>
  <si>
    <t>2012-09-25</t>
  </si>
  <si>
    <t>+91-8112380464</t>
  </si>
  <si>
    <t>sneha.desai10@company.com</t>
  </si>
  <si>
    <t>EMP1471</t>
  </si>
  <si>
    <t>Piyush Joshi</t>
  </si>
  <si>
    <t>2019-09-01</t>
  </si>
  <si>
    <t>+91-9063255758</t>
  </si>
  <si>
    <t>piyush.joshi25@company.com</t>
  </si>
  <si>
    <t>EMP1167</t>
  </si>
  <si>
    <t>Kavya Agarwal</t>
  </si>
  <si>
    <t>+91-7186753800</t>
  </si>
  <si>
    <t>kavya.agarwal8@company.com</t>
  </si>
  <si>
    <t>EMP1189</t>
  </si>
  <si>
    <t>Vishal Banerjee</t>
  </si>
  <si>
    <t>2012-01-23</t>
  </si>
  <si>
    <t>+91-8118594780</t>
  </si>
  <si>
    <t>vishal.banerjee61@company.com</t>
  </si>
  <si>
    <t>EMP1357</t>
  </si>
  <si>
    <t>NIKHIL MISHRA</t>
  </si>
  <si>
    <t>2011-01-09</t>
  </si>
  <si>
    <t>+91-8652116078</t>
  </si>
  <si>
    <t>nikhil.mishra29@company.com</t>
  </si>
  <si>
    <t>Deepak Pandey</t>
  </si>
  <si>
    <t>25-11-2023</t>
  </si>
  <si>
    <t>+91-7241011818</t>
  </si>
  <si>
    <t>deepak.pandey90@company.com</t>
  </si>
  <si>
    <t>Hemant Agarwal</t>
  </si>
  <si>
    <t>2020-06-09</t>
  </si>
  <si>
    <t>+91-8979245480</t>
  </si>
  <si>
    <t>hemant.agarwal46@company.com</t>
  </si>
  <si>
    <t>EMP1229</t>
  </si>
  <si>
    <t>SACHIN BANERJEE</t>
  </si>
  <si>
    <t>2012-10-22</t>
  </si>
  <si>
    <t>+91-8119611566</t>
  </si>
  <si>
    <t>sachin.banerjee76@company.com</t>
  </si>
  <si>
    <t>EMP1106</t>
  </si>
  <si>
    <t>Vikram Shah</t>
  </si>
  <si>
    <t>2022-10-21</t>
  </si>
  <si>
    <t>+91-7143506818</t>
  </si>
  <si>
    <t>vikram.shah41@company.com</t>
  </si>
  <si>
    <t>EMP1414</t>
  </si>
  <si>
    <t>Sneha Pandey</t>
  </si>
  <si>
    <t>2012-06-04</t>
  </si>
  <si>
    <t>+91-8733681996</t>
  </si>
  <si>
    <t>sneha.pandey34@company.com</t>
  </si>
  <si>
    <t>EMP1212</t>
  </si>
  <si>
    <t>Meera Tiwari</t>
  </si>
  <si>
    <t>2019-08-19</t>
  </si>
  <si>
    <t>+91-9981759978</t>
  </si>
  <si>
    <t>meera.tiwari48@company.com</t>
  </si>
  <si>
    <t>EMP1008</t>
  </si>
  <si>
    <t>Pallavi Singh</t>
  </si>
  <si>
    <t>2016-05-26</t>
  </si>
  <si>
    <t>+91-9842715617</t>
  </si>
  <si>
    <t>pallavi.singh20@company.com</t>
  </si>
  <si>
    <t>Sneha Mishra</t>
  </si>
  <si>
    <t>2018-11-06</t>
  </si>
  <si>
    <t>+91-9599051823</t>
  </si>
  <si>
    <t>EMP1108</t>
  </si>
  <si>
    <t>Gaurav Kumar</t>
  </si>
  <si>
    <t>2024-07-12</t>
  </si>
  <si>
    <t>+91-8131297865</t>
  </si>
  <si>
    <t>gaurav.kumar35@company.com</t>
  </si>
  <si>
    <t>Rajesh Singh</t>
  </si>
  <si>
    <t>2019-04-23</t>
  </si>
  <si>
    <t>+91-7999829240</t>
  </si>
  <si>
    <t>rajesh.singh49@company.com</t>
  </si>
  <si>
    <t>EMP1295</t>
  </si>
  <si>
    <t>Pallavi Nair</t>
  </si>
  <si>
    <t>2020-04-23</t>
  </si>
  <si>
    <t>+91-7659240606</t>
  </si>
  <si>
    <t>pallavi.nair56@company.com</t>
  </si>
  <si>
    <t>Tiwari, Komal</t>
  </si>
  <si>
    <t>2017-04-11</t>
  </si>
  <si>
    <t>+91-8483355242</t>
  </si>
  <si>
    <t>komal.tiwari17@company.com</t>
  </si>
  <si>
    <t>EMP1458</t>
  </si>
  <si>
    <t>Amit Verma</t>
  </si>
  <si>
    <t>2019-01-07</t>
  </si>
  <si>
    <t>+91-9497880893</t>
  </si>
  <si>
    <t>amit.verma66@company.com</t>
  </si>
  <si>
    <t>EMP1396</t>
  </si>
  <si>
    <t>2010-09-27</t>
  </si>
  <si>
    <t>+91-8646490429</t>
  </si>
  <si>
    <t>geeta.tiwari54@company.com</t>
  </si>
  <si>
    <t>Patel, Shruti</t>
  </si>
  <si>
    <t>2020-07-12</t>
  </si>
  <si>
    <t>+91-8613385303</t>
  </si>
  <si>
    <t>shruti.patel85@company.com</t>
  </si>
  <si>
    <t>EMP1203</t>
  </si>
  <si>
    <t>GAURAV CHOPRA</t>
  </si>
  <si>
    <t>2015-05-08</t>
  </si>
  <si>
    <t>+91-7694937859</t>
  </si>
  <si>
    <t>gaurav.chopra74@company.com</t>
  </si>
  <si>
    <t>KAVYA BANERJEE</t>
  </si>
  <si>
    <t>2012-05-02</t>
  </si>
  <si>
    <t>+91-9045460840</t>
  </si>
  <si>
    <t>kavya.banerjee47@company.com</t>
  </si>
  <si>
    <t>Vikram Desai</t>
  </si>
  <si>
    <t>+91-9527696207</t>
  </si>
  <si>
    <t>vikram.desai40@company.com</t>
  </si>
  <si>
    <t>EMP1339</t>
  </si>
  <si>
    <t>2016-07-13</t>
  </si>
  <si>
    <t>+91-7874350029</t>
  </si>
  <si>
    <t>geeta.verma37@company.com</t>
  </si>
  <si>
    <t>EMP1460</t>
  </si>
  <si>
    <t>Shruti Mishra</t>
  </si>
  <si>
    <t>2015-08-13</t>
  </si>
  <si>
    <t>+91-9408745930</t>
  </si>
  <si>
    <t>shruti.mishra86@company.com</t>
  </si>
  <si>
    <t>Archana Shah</t>
  </si>
  <si>
    <t>2017-02-17</t>
  </si>
  <si>
    <t>+91-8784234958</t>
  </si>
  <si>
    <t>archana.shah8@company.com</t>
  </si>
  <si>
    <t>EMP1401</t>
  </si>
  <si>
    <t>SHRUTI IYER</t>
  </si>
  <si>
    <t>2017-11-06</t>
  </si>
  <si>
    <t>+91-7061128523</t>
  </si>
  <si>
    <t>shruti.iyer9@company.com</t>
  </si>
  <si>
    <t>Manish Chopra</t>
  </si>
  <si>
    <t>2016-12-07</t>
  </si>
  <si>
    <t>+91-7593059748</t>
  </si>
  <si>
    <t>manish.chopra72@company.com</t>
  </si>
  <si>
    <t>EMP1298</t>
  </si>
  <si>
    <t>Anjali Iyer</t>
  </si>
  <si>
    <t>+91-9942575986</t>
  </si>
  <si>
    <t>anjali.iyer69@company.com</t>
  </si>
  <si>
    <t>EMP1329</t>
  </si>
  <si>
    <t>2020-10-28</t>
  </si>
  <si>
    <t>+91-7459890737</t>
  </si>
  <si>
    <t>tanvi.tiwari34@company.com</t>
  </si>
  <si>
    <t>EMP1404</t>
  </si>
  <si>
    <t>Neha Chopra</t>
  </si>
  <si>
    <t>2014-11-10</t>
  </si>
  <si>
    <t>+91-9911311585</t>
  </si>
  <si>
    <t>neha.chopra40@company.com</t>
  </si>
  <si>
    <t>EMP1382</t>
  </si>
  <si>
    <t>Vishal Nair</t>
  </si>
  <si>
    <t>2013-09-05</t>
  </si>
  <si>
    <t>+91-8183372818</t>
  </si>
  <si>
    <t>vishal.nair89@company.com</t>
  </si>
  <si>
    <t>2023-07-17</t>
  </si>
  <si>
    <t>+91-7603923411</t>
  </si>
  <si>
    <t>deepak.banerjee32ATcompany.com</t>
  </si>
  <si>
    <t>EMP1130</t>
  </si>
  <si>
    <t>Bhavna Chopra</t>
  </si>
  <si>
    <t>2014-01-11</t>
  </si>
  <si>
    <t>+91-7218422454</t>
  </si>
  <si>
    <t>bhavna.chopra81@company.com</t>
  </si>
  <si>
    <t>Vishal Shah</t>
  </si>
  <si>
    <t>2012-12-09</t>
  </si>
  <si>
    <t>+91-8774065466</t>
  </si>
  <si>
    <t>vishal.shah48@company.com</t>
  </si>
  <si>
    <t>EMP1364</t>
  </si>
  <si>
    <t>Nisha Gupta</t>
  </si>
  <si>
    <t>2021-02-05</t>
  </si>
  <si>
    <t>+91-7568558136</t>
  </si>
  <si>
    <t>nisha.gupta68@company.com</t>
  </si>
  <si>
    <t>EMP1448</t>
  </si>
  <si>
    <t>2023-04-23</t>
  </si>
  <si>
    <t>+91-8237223270</t>
  </si>
  <si>
    <t>archana.mehta76@company.com</t>
  </si>
  <si>
    <t>EMP1474</t>
  </si>
  <si>
    <t>Pallavi Sinha</t>
  </si>
  <si>
    <t>2024-05-28</t>
  </si>
  <si>
    <t>+91-8028278702</t>
  </si>
  <si>
    <t>pallavi.sinha45@company.com</t>
  </si>
  <si>
    <t>Singh, Mayur</t>
  </si>
  <si>
    <t>+91-8194819984</t>
  </si>
  <si>
    <t>mayur.singh1@company.com</t>
  </si>
  <si>
    <t>EMP1255</t>
  </si>
  <si>
    <t>Nitin Mishra</t>
  </si>
  <si>
    <t>2024-07-07</t>
  </si>
  <si>
    <t>+91-9728033887</t>
  </si>
  <si>
    <t>nitin.mishra97@company.com</t>
  </si>
  <si>
    <t>EMP1332</t>
  </si>
  <si>
    <t>Arun Banerjee</t>
  </si>
  <si>
    <t>2012-01-17</t>
  </si>
  <si>
    <t>+91-8512916571</t>
  </si>
  <si>
    <t>arun.banerjee15@company.com</t>
  </si>
  <si>
    <t>EMP1131</t>
  </si>
  <si>
    <t>Manish Joshi</t>
  </si>
  <si>
    <t>2019-09-16</t>
  </si>
  <si>
    <t>+91-8914126243</t>
  </si>
  <si>
    <t>manish.joshi83@company.com</t>
  </si>
  <si>
    <t>EMP1434</t>
  </si>
  <si>
    <t>Sanjay Tiwari</t>
  </si>
  <si>
    <t>2022-11-23</t>
  </si>
  <si>
    <t>+91-8319069607</t>
  </si>
  <si>
    <t>sanjay.tiwari96@company.com</t>
  </si>
  <si>
    <t>EMP1467</t>
  </si>
  <si>
    <t>Preeti Pandey</t>
  </si>
  <si>
    <t>2018-02-14</t>
  </si>
  <si>
    <t>+91-7117373418</t>
  </si>
  <si>
    <t>preeti.pandey63@company.com</t>
  </si>
  <si>
    <t>EMP1316</t>
  </si>
  <si>
    <t>TEJAS JOSHI</t>
  </si>
  <si>
    <t>2018-07-05</t>
  </si>
  <si>
    <t>+91-8684876851</t>
  </si>
  <si>
    <t>tejas.joshi96@company.com</t>
  </si>
  <si>
    <t>EMP1128</t>
  </si>
  <si>
    <t>Mayur Kumar</t>
  </si>
  <si>
    <t>2020-12-27</t>
  </si>
  <si>
    <t>mayur.kumar86@company.com</t>
  </si>
  <si>
    <t>EMP1430</t>
  </si>
  <si>
    <t>Bhavna Patel</t>
  </si>
  <si>
    <t>2021-11-13</t>
  </si>
  <si>
    <t>+91-8474442265</t>
  </si>
  <si>
    <t>bhavna.patel40@company.com</t>
  </si>
  <si>
    <t>EMP1148</t>
  </si>
  <si>
    <t>Karan Kumar</t>
  </si>
  <si>
    <t>2010-08-12</t>
  </si>
  <si>
    <t>+91-8179969405</t>
  </si>
  <si>
    <t>karan.kumar98@company.com</t>
  </si>
  <si>
    <t>EMP1297</t>
  </si>
  <si>
    <t>+91-8966178433</t>
  </si>
  <si>
    <t>rajesh.joshi46@company.com</t>
  </si>
  <si>
    <t>EMP1500</t>
  </si>
  <si>
    <t>Swati Gupta</t>
  </si>
  <si>
    <t>2018-12-25</t>
  </si>
  <si>
    <t>+91-8056723350</t>
  </si>
  <si>
    <t>swati.gupta55@company.com</t>
  </si>
  <si>
    <t>EMP1411</t>
  </si>
  <si>
    <t>Bhavna Gupta</t>
  </si>
  <si>
    <t>+91-8354358858</t>
  </si>
  <si>
    <t>bhavna.gupta85@company.com</t>
  </si>
  <si>
    <t>EMP1449</t>
  </si>
  <si>
    <t>2016-05-27</t>
  </si>
  <si>
    <t>+91-8208814835</t>
  </si>
  <si>
    <t>2022-02-02</t>
  </si>
  <si>
    <t>+91-8033653860</t>
  </si>
  <si>
    <t>nikhil.rao13@company.com</t>
  </si>
  <si>
    <t>EMP1177</t>
  </si>
  <si>
    <t>Gaurav Mehta</t>
  </si>
  <si>
    <t>2021-05-14</t>
  </si>
  <si>
    <t>+91-9676813221</t>
  </si>
  <si>
    <t>gaurav.mehta17@company.com</t>
  </si>
  <si>
    <t>EMP1150</t>
  </si>
  <si>
    <t>Hemant Mehta</t>
  </si>
  <si>
    <t>2012-11-17</t>
  </si>
  <si>
    <t>+91-8077925250</t>
  </si>
  <si>
    <t>EMP1271</t>
  </si>
  <si>
    <t>Arjun Agarwal</t>
  </si>
  <si>
    <t>2021-11-16</t>
  </si>
  <si>
    <t>+91-7871761712</t>
  </si>
  <si>
    <t>arjun.agarwal88@company.com</t>
  </si>
  <si>
    <t>Hemant Verma</t>
  </si>
  <si>
    <t>2019-02-05</t>
  </si>
  <si>
    <t>+91-7518560332</t>
  </si>
  <si>
    <t>hemant.verma99@company.com</t>
  </si>
  <si>
    <t>EMP1199</t>
  </si>
  <si>
    <t>Rahul Joshi</t>
  </si>
  <si>
    <t>2021-01-20</t>
  </si>
  <si>
    <t>+91-9693767622</t>
  </si>
  <si>
    <t>rahul.joshi39@company.com</t>
  </si>
  <si>
    <t>EMP1342</t>
  </si>
  <si>
    <t>Yash Kulkarni</t>
  </si>
  <si>
    <t>2014/5/7</t>
  </si>
  <si>
    <t>+91-9433796605</t>
  </si>
  <si>
    <t>yash.kulkarni45@company.com</t>
  </si>
  <si>
    <t>EMP1314</t>
  </si>
  <si>
    <t>Anjali Rao</t>
  </si>
  <si>
    <t>2014-08-05</t>
  </si>
  <si>
    <t>+91-8041518442</t>
  </si>
  <si>
    <t>anjali.rao29@company.com</t>
  </si>
  <si>
    <t>EMP1464</t>
  </si>
  <si>
    <t>Nitin Saxena</t>
  </si>
  <si>
    <t>2022-09-28</t>
  </si>
  <si>
    <t>+91-9571794425</t>
  </si>
  <si>
    <t>nitin.saxena81@company.com</t>
  </si>
  <si>
    <t>EMP1221</t>
  </si>
  <si>
    <t>Aarti Nair</t>
  </si>
  <si>
    <t>2010-11-11</t>
  </si>
  <si>
    <t>+91-8769224170</t>
  </si>
  <si>
    <t>aarti.nair85@company.com</t>
  </si>
  <si>
    <t>2014-06-12</t>
  </si>
  <si>
    <t>+91-9928310291</t>
  </si>
  <si>
    <t>vishal.verma22@company.com</t>
  </si>
  <si>
    <t>EMP1122</t>
  </si>
  <si>
    <t>Shweta Banerjee</t>
  </si>
  <si>
    <t>2015-06-06</t>
  </si>
  <si>
    <t>+91-8656635401</t>
  </si>
  <si>
    <t>shweta.banerjee62@company.com</t>
  </si>
  <si>
    <t>EMP1281</t>
  </si>
  <si>
    <t>Swati Menon</t>
  </si>
  <si>
    <t>2021-01-21</t>
  </si>
  <si>
    <t>swati.menon90@company.com</t>
  </si>
  <si>
    <t>EMP1253</t>
  </si>
  <si>
    <t>Pooja Sharma</t>
  </si>
  <si>
    <t>2013-08-17</t>
  </si>
  <si>
    <t>+91-7260412355</t>
  </si>
  <si>
    <t>pooja.sharma71@company.com</t>
  </si>
  <si>
    <t>Hemant Shah</t>
  </si>
  <si>
    <t>2013-05-19</t>
  </si>
  <si>
    <t>+91-9541293188</t>
  </si>
  <si>
    <t>hemant.shah99@company.com</t>
  </si>
  <si>
    <t>EMP1395</t>
  </si>
  <si>
    <t>2016-04-07</t>
  </si>
  <si>
    <t>+91-8722782281</t>
  </si>
  <si>
    <t>kavya.pandey46@company.com</t>
  </si>
  <si>
    <t>EMP1483</t>
  </si>
  <si>
    <t>Ankit Mishra</t>
  </si>
  <si>
    <t>2017-09-26</t>
  </si>
  <si>
    <t>+91-9255075936</t>
  </si>
  <si>
    <t>ankit.mishra83@company.com</t>
  </si>
  <si>
    <t>EMP1140</t>
  </si>
  <si>
    <t>2012-01-06</t>
  </si>
  <si>
    <t>+91-9574220936</t>
  </si>
  <si>
    <t>geeta@</t>
  </si>
  <si>
    <t>EMP1268</t>
  </si>
  <si>
    <t>Divya Kumar</t>
  </si>
  <si>
    <t>2010-08-21</t>
  </si>
  <si>
    <t>+91-7974641050</t>
  </si>
  <si>
    <t>divya.kumar27@company.com</t>
  </si>
  <si>
    <t>EMP1349</t>
  </si>
  <si>
    <t>Tanvi Bhat</t>
  </si>
  <si>
    <t>2021-03-09</t>
  </si>
  <si>
    <t>+91-9770829463</t>
  </si>
  <si>
    <t>tanvi.bhat61@company.com</t>
  </si>
  <si>
    <t>EMP1423</t>
  </si>
  <si>
    <t>2021-10-14</t>
  </si>
  <si>
    <t>+91-8978875997</t>
  </si>
  <si>
    <t>bhavna.mishra67ATcompany.com</t>
  </si>
  <si>
    <t>EMP1491</t>
  </si>
  <si>
    <t>Yash Shah</t>
  </si>
  <si>
    <t>2017-02-09</t>
  </si>
  <si>
    <t>+91-9631685228</t>
  </si>
  <si>
    <t>yash.shah9@company.com</t>
  </si>
  <si>
    <t>EMP1123</t>
  </si>
  <si>
    <t>Arun Singh</t>
  </si>
  <si>
    <t>2017-01-03</t>
  </si>
  <si>
    <t>+91-9476688619</t>
  </si>
  <si>
    <t>arun.singh29@company.com</t>
  </si>
  <si>
    <t>EMP1261</t>
  </si>
  <si>
    <t>Komal Singh</t>
  </si>
  <si>
    <t>+91-8909646911</t>
  </si>
  <si>
    <t>komal.singh18@company.com</t>
  </si>
  <si>
    <t>EMP1350</t>
  </si>
  <si>
    <t>Arjun Menon</t>
  </si>
  <si>
    <t>2013-12-26</t>
  </si>
  <si>
    <t>+91-8804127440</t>
  </si>
  <si>
    <t>arjun.menon8@company.com</t>
  </si>
  <si>
    <t>EMP1378</t>
  </si>
  <si>
    <t>Preeti Menon</t>
  </si>
  <si>
    <t>2018-10-21</t>
  </si>
  <si>
    <t>+91-9597489738</t>
  </si>
  <si>
    <t>preeti.menon95@company.com</t>
  </si>
  <si>
    <t>EMP1405</t>
  </si>
  <si>
    <t>Arun Joshi</t>
  </si>
  <si>
    <t>2018-08-04</t>
  </si>
  <si>
    <t>+91-8390561934</t>
  </si>
  <si>
    <t>arun.joshi99@company.com</t>
  </si>
  <si>
    <t>Gaurav Chatterjee</t>
  </si>
  <si>
    <t>2012-01-27</t>
  </si>
  <si>
    <t>gaurav.chatterjee43@company.com</t>
  </si>
  <si>
    <t>EMP1363</t>
  </si>
  <si>
    <t>Sanjay Sinha</t>
  </si>
  <si>
    <t>2024-06-21</t>
  </si>
  <si>
    <t>+91-7986825871</t>
  </si>
  <si>
    <t>sanjay.sinha17@company.com</t>
  </si>
  <si>
    <t>EMP1374</t>
  </si>
  <si>
    <t>Yash Pillai</t>
  </si>
  <si>
    <t>2019-02-21</t>
  </si>
  <si>
    <t>+91-7409692785</t>
  </si>
  <si>
    <t>yash.pillai27@company.com</t>
  </si>
  <si>
    <t>EMP1112</t>
  </si>
  <si>
    <t>Arjun Nair</t>
  </si>
  <si>
    <t>+91-7746196273</t>
  </si>
  <si>
    <t>arjun.nair26@company.com</t>
  </si>
  <si>
    <t>EMP1419</t>
  </si>
  <si>
    <t>Priya Kumar</t>
  </si>
  <si>
    <t>2020-10-08</t>
  </si>
  <si>
    <t>+91-8821133740</t>
  </si>
  <si>
    <t>priya.kumar36ATcompany.com</t>
  </si>
  <si>
    <t>EMP1042</t>
  </si>
  <si>
    <t>2020-10-19</t>
  </si>
  <si>
    <t>+91-8025148381</t>
  </si>
  <si>
    <t>gaurav.reddy17@company.com</t>
  </si>
  <si>
    <t>EMP1323</t>
  </si>
  <si>
    <t>+91-8523392144</t>
  </si>
  <si>
    <t>meera.agarwal74@company.com</t>
  </si>
  <si>
    <t>VARSHA MALHOTRA</t>
  </si>
  <si>
    <t>2012-11-15</t>
  </si>
  <si>
    <t>+91-9464975279</t>
  </si>
  <si>
    <t>varsha.malhotra47@company.com</t>
  </si>
  <si>
    <t>EMP1359</t>
  </si>
  <si>
    <t>Divya Patel</t>
  </si>
  <si>
    <t>2011-05-19</t>
  </si>
  <si>
    <t>917038099365</t>
  </si>
  <si>
    <t>divya.patel5@company.com</t>
  </si>
  <si>
    <t>EMP1292</t>
  </si>
  <si>
    <t>Pooja Tiwari</t>
  </si>
  <si>
    <t>2017-11-22</t>
  </si>
  <si>
    <t>+91-9059429798</t>
  </si>
  <si>
    <t>pooja.tiwari96@company.com</t>
  </si>
  <si>
    <t>EMP1333</t>
  </si>
  <si>
    <t>KAVYA SAXENA</t>
  </si>
  <si>
    <t>2018-04-04</t>
  </si>
  <si>
    <t>+91-9465089568</t>
  </si>
  <si>
    <t>kavya.saxena54@company.com</t>
  </si>
  <si>
    <t>EMP1486</t>
  </si>
  <si>
    <t>Priya Reddy</t>
  </si>
  <si>
    <t>2024-08-25</t>
  </si>
  <si>
    <t>+91-9173028996</t>
  </si>
  <si>
    <t>priya.reddy20@company.com</t>
  </si>
  <si>
    <t>2022-08-18</t>
  </si>
  <si>
    <t>+91-8575659319</t>
  </si>
  <si>
    <t>geeta.chatterjee97ATcompany.com</t>
  </si>
  <si>
    <t>EMP1172</t>
  </si>
  <si>
    <t>2016-10-24</t>
  </si>
  <si>
    <t>+91-9236170837</t>
  </si>
  <si>
    <t>deepak.saxena59@company.com</t>
  </si>
  <si>
    <t>Preeti Singh</t>
  </si>
  <si>
    <t>2022-05-10</t>
  </si>
  <si>
    <t>+91-7754603440</t>
  </si>
  <si>
    <t>preeti.singh69@company.com</t>
  </si>
  <si>
    <t>EMP1127</t>
  </si>
  <si>
    <t>Alok Saxena</t>
  </si>
  <si>
    <t>2013-05-13</t>
  </si>
  <si>
    <t>+91-7593478613</t>
  </si>
  <si>
    <t>alok.saxena90@company.com</t>
  </si>
  <si>
    <t>EMP1407</t>
  </si>
  <si>
    <t>Priya Gupta</t>
  </si>
  <si>
    <t>+91-8073080953</t>
  </si>
  <si>
    <t>priya.gupta78@company.com</t>
  </si>
  <si>
    <t>EMP1288</t>
  </si>
  <si>
    <t>2016-06-25</t>
  </si>
  <si>
    <t>+91-9537363541</t>
  </si>
  <si>
    <t>varsha.menon51ATcompany.com</t>
  </si>
  <si>
    <t>EMP1303</t>
  </si>
  <si>
    <t>Sunita Malhotra</t>
  </si>
  <si>
    <t>2019-04-03</t>
  </si>
  <si>
    <t>+91-9720045617</t>
  </si>
  <si>
    <t>sunita.malhotra29@company.com</t>
  </si>
  <si>
    <t>Suresh Tiwari</t>
  </si>
  <si>
    <t>2010-06-23</t>
  </si>
  <si>
    <t>+91-7469738105</t>
  </si>
  <si>
    <t>suresh.tiwari85@company.com</t>
  </si>
  <si>
    <t>EMP1472</t>
  </si>
  <si>
    <t>2014-07-02</t>
  </si>
  <si>
    <t>+91-7118821302</t>
  </si>
  <si>
    <t>vikram.mehta93@company.com</t>
  </si>
  <si>
    <t>EMP1422</t>
  </si>
  <si>
    <t>Smita Saxena</t>
  </si>
  <si>
    <t>2014-05-21</t>
  </si>
  <si>
    <t>+91-8531848603</t>
  </si>
  <si>
    <t>smita.saxena13@company.com</t>
  </si>
  <si>
    <t>EMP1452</t>
  </si>
  <si>
    <t>2013/7/16</t>
  </si>
  <si>
    <t>+91-9938004886</t>
  </si>
  <si>
    <t>smita.kulkarni79@company.com</t>
  </si>
  <si>
    <t>EMP1208</t>
  </si>
  <si>
    <t>Arun Rao</t>
  </si>
  <si>
    <t>2017-09-06</t>
  </si>
  <si>
    <t>+91-9144979311</t>
  </si>
  <si>
    <t>arun.rao59@company.com</t>
  </si>
  <si>
    <t>EMP1185</t>
  </si>
  <si>
    <t>Vishal Kapoor</t>
  </si>
  <si>
    <t>2011-11-27</t>
  </si>
  <si>
    <t>+91-7388836304</t>
  </si>
  <si>
    <t>vishal.kapoor18@company.com</t>
  </si>
  <si>
    <t>EMP1415</t>
  </si>
  <si>
    <t>Vivek Verma</t>
  </si>
  <si>
    <t>2017-07-28</t>
  </si>
  <si>
    <t>919045450135</t>
  </si>
  <si>
    <t>vivek.verma33@company.com</t>
  </si>
  <si>
    <t>EMP1241</t>
  </si>
  <si>
    <t>Hemant Gupta</t>
  </si>
  <si>
    <t>2017-04-17</t>
  </si>
  <si>
    <t>+91-7563321747</t>
  </si>
  <si>
    <t>hemant.gupta93@company.com</t>
  </si>
  <si>
    <t>Deepak Patel</t>
  </si>
  <si>
    <t>2015-08-18</t>
  </si>
  <si>
    <t>+91-8420737819</t>
  </si>
  <si>
    <t>deepak.patel59@company.com</t>
  </si>
  <si>
    <t>EMP1245</t>
  </si>
  <si>
    <t>Bhavna Sharma</t>
  </si>
  <si>
    <t>2010-11-23</t>
  </si>
  <si>
    <t>+91-8726588942</t>
  </si>
  <si>
    <t>bhavna.sharma90@company.com</t>
  </si>
  <si>
    <t>2011-11-28</t>
  </si>
  <si>
    <t>+91-9328608265</t>
  </si>
  <si>
    <t>pallavi.singh39@company.com</t>
  </si>
  <si>
    <t>EMP1003</t>
  </si>
  <si>
    <t>2013-01-26</t>
  </si>
  <si>
    <t>+91-8351531223</t>
  </si>
  <si>
    <t>geeta.tiwari64@company.com</t>
  </si>
  <si>
    <t>EMP1302</t>
  </si>
  <si>
    <t>Alok Chopra</t>
  </si>
  <si>
    <t>2015-07-20</t>
  </si>
  <si>
    <t>+91-9087050235</t>
  </si>
  <si>
    <t>alok.chopra55@company.com</t>
  </si>
  <si>
    <t>EMP1473</t>
  </si>
  <si>
    <t>Alok Bhat</t>
  </si>
  <si>
    <t>2012-11-02</t>
  </si>
  <si>
    <t>+91-8303509195</t>
  </si>
  <si>
    <t>alok.bhat78@company.com</t>
  </si>
  <si>
    <t>Shweta Kumar</t>
  </si>
  <si>
    <t>2011-11-07</t>
  </si>
  <si>
    <t>+91-8432410914</t>
  </si>
  <si>
    <t>shweta.kumar17@company.com</t>
  </si>
  <si>
    <t>EMP1482</t>
  </si>
  <si>
    <t>2018-03-08</t>
  </si>
  <si>
    <t>+91-9204374368</t>
  </si>
  <si>
    <t>sunita.sharma65@company.com</t>
  </si>
  <si>
    <t>Smita Patel</t>
  </si>
  <si>
    <t>2015-05-11</t>
  </si>
  <si>
    <t>+91-9824629834</t>
  </si>
  <si>
    <t>smita.patel60@company.com</t>
  </si>
  <si>
    <t>EMP1380</t>
  </si>
  <si>
    <t>2024-04-13</t>
  </si>
  <si>
    <t>+91-9259163947</t>
  </si>
  <si>
    <t>smita.kapoor76@company.com</t>
  </si>
  <si>
    <t>EMP1138</t>
  </si>
  <si>
    <t>Tejas Reddy</t>
  </si>
  <si>
    <t>2020-04-17</t>
  </si>
  <si>
    <t>tejas.reddy14@company.com</t>
  </si>
  <si>
    <t>EMP1470</t>
  </si>
  <si>
    <t>Sachin Chatterjee</t>
  </si>
  <si>
    <t>2011-05-22</t>
  </si>
  <si>
    <t>+91-7590675140</t>
  </si>
  <si>
    <t>sachin.chatterjee21@company.com</t>
  </si>
  <si>
    <t>EMP1441</t>
  </si>
  <si>
    <t>Aarti Mehta</t>
  </si>
  <si>
    <t>2013-04-07</t>
  </si>
  <si>
    <t>+91-8560855124</t>
  </si>
  <si>
    <t>aarti.mehta71@company.com</t>
  </si>
  <si>
    <t>EMP1484</t>
  </si>
  <si>
    <t>Smita Mehta</t>
  </si>
  <si>
    <t>2016-11-25</t>
  </si>
  <si>
    <t>+91-9787740089</t>
  </si>
  <si>
    <t>smita.mehta51@company.com</t>
  </si>
  <si>
    <t>EMP1216</t>
  </si>
  <si>
    <t>Shruti Shah</t>
  </si>
  <si>
    <t>2012-09-01</t>
  </si>
  <si>
    <t>+91-9038887576</t>
  </si>
  <si>
    <t>shruti.shah76@company.com</t>
  </si>
  <si>
    <t>EMP1457</t>
  </si>
  <si>
    <t>Rohit Reddy</t>
  </si>
  <si>
    <t>2020-07-23</t>
  </si>
  <si>
    <t>+91-7683159457</t>
  </si>
  <si>
    <t>rohit.reddy34@company.com</t>
  </si>
  <si>
    <t>2013-08-19</t>
  </si>
  <si>
    <t>+91-8395925222</t>
  </si>
  <si>
    <t>tanvi.kapoor28@company.com</t>
  </si>
  <si>
    <t>EMP1386</t>
  </si>
  <si>
    <t>2024-09-04</t>
  </si>
  <si>
    <t>tanvi.menon39@company.com</t>
  </si>
  <si>
    <t>EMP1207</t>
  </si>
  <si>
    <t>Rekha Tiwari</t>
  </si>
  <si>
    <t>2013-08-12</t>
  </si>
  <si>
    <t>+91-8958189548</t>
  </si>
  <si>
    <t>rekha.tiwari80@company.com</t>
  </si>
  <si>
    <t>EMP1476</t>
  </si>
  <si>
    <t>Vikram Nair</t>
  </si>
  <si>
    <t>2016-11-16</t>
  </si>
  <si>
    <t>+91-7513011414</t>
  </si>
  <si>
    <t>vikram.nair16@company.com</t>
  </si>
  <si>
    <t>EMP1443</t>
  </si>
  <si>
    <t>Suresh Saxena</t>
  </si>
  <si>
    <t>2013-12-05</t>
  </si>
  <si>
    <t>+91-9676759681</t>
  </si>
  <si>
    <t>suresh.saxena75@company.com</t>
  </si>
  <si>
    <t>EMP1337</t>
  </si>
  <si>
    <t>Rahul Malhotra</t>
  </si>
  <si>
    <t>2024-06-13</t>
  </si>
  <si>
    <t>+91-7807254039</t>
  </si>
  <si>
    <t>rahul.malhotra55@company.com</t>
  </si>
  <si>
    <t>EMP1283</t>
  </si>
  <si>
    <t>Rahul Singh</t>
  </si>
  <si>
    <t>2017-10-27</t>
  </si>
  <si>
    <t>+91-7824139082</t>
  </si>
  <si>
    <t>rahul.singh53@company.com</t>
  </si>
  <si>
    <t>EMP1153</t>
  </si>
  <si>
    <t>Anjali Singh</t>
  </si>
  <si>
    <t>2015-06-28</t>
  </si>
  <si>
    <t>+91-8910594463</t>
  </si>
  <si>
    <t>anjali.singh90@company.com</t>
  </si>
  <si>
    <t>EMP1280</t>
  </si>
  <si>
    <t>Preeti Saxena</t>
  </si>
  <si>
    <t>2016-09-20</t>
  </si>
  <si>
    <t>+91-7840592753</t>
  </si>
  <si>
    <t>preeti@</t>
  </si>
  <si>
    <t>EMP1050</t>
  </si>
  <si>
    <t>EMP1354</t>
  </si>
  <si>
    <t>Anjali Bhat</t>
  </si>
  <si>
    <t>1-2-2013</t>
  </si>
  <si>
    <t>+91-9928915225</t>
  </si>
  <si>
    <t>anjali.bhat3@company.com</t>
  </si>
  <si>
    <t>EMP1465</t>
  </si>
  <si>
    <t>Aarti Patel</t>
  </si>
  <si>
    <t>2017-02-11</t>
  </si>
  <si>
    <t>+91-9246787705</t>
  </si>
  <si>
    <t>aarti.patel51@company.com</t>
  </si>
  <si>
    <t>EMP1454</t>
  </si>
  <si>
    <t>Rajesh Saxena</t>
  </si>
  <si>
    <t>2017-04-08</t>
  </si>
  <si>
    <t>+91-9072549881</t>
  </si>
  <si>
    <t>rajesh.saxena35@company.com</t>
  </si>
  <si>
    <t>EMP1485</t>
  </si>
  <si>
    <t>Shweta Bhat</t>
  </si>
  <si>
    <t>2014-06-27</t>
  </si>
  <si>
    <t>+91-7291008326</t>
  </si>
  <si>
    <t>shweta.bhat25@company.com</t>
  </si>
  <si>
    <t>EMP1416</t>
  </si>
  <si>
    <t>Hemant Kumar</t>
  </si>
  <si>
    <t>2014-06-23</t>
  </si>
  <si>
    <t>+91-8145578899</t>
  </si>
  <si>
    <t>hemant.kumar17@company.com</t>
  </si>
  <si>
    <t>EMP1461</t>
  </si>
  <si>
    <t>Sinha, Divya</t>
  </si>
  <si>
    <t>21/7/2014</t>
  </si>
  <si>
    <t>+91-8962489290</t>
  </si>
  <si>
    <t>divya.sinha27@company.com</t>
  </si>
  <si>
    <t>EMP1440</t>
  </si>
  <si>
    <t>Swati Desai</t>
  </si>
  <si>
    <t>2024-06-08</t>
  </si>
  <si>
    <t>+91-8104712613</t>
  </si>
  <si>
    <t>swati.desai48@company.com</t>
  </si>
  <si>
    <t>EMP1278</t>
  </si>
  <si>
    <t>Swati Verma</t>
  </si>
  <si>
    <t>2023-12-11</t>
  </si>
  <si>
    <t>+91-9952145084</t>
  </si>
  <si>
    <t>swati.verma29@company.com</t>
  </si>
  <si>
    <t>EMP1387</t>
  </si>
  <si>
    <t>Piyush Gupta</t>
  </si>
  <si>
    <t>2012-04-28</t>
  </si>
  <si>
    <t>+91-9940822421</t>
  </si>
  <si>
    <t>EMP1282</t>
  </si>
  <si>
    <t>Arun Sharma</t>
  </si>
  <si>
    <t>2020-07-19</t>
  </si>
  <si>
    <t>+91-7469328549</t>
  </si>
  <si>
    <t>arun.sharma45@company.com</t>
  </si>
  <si>
    <t>EMP1390</t>
  </si>
  <si>
    <t>2016-11-03</t>
  </si>
  <si>
    <t>+91-8107399563</t>
  </si>
  <si>
    <t>sneha.iyer79@company.com</t>
  </si>
  <si>
    <t>EMP1431</t>
  </si>
  <si>
    <t>Nitin Tiwari</t>
  </si>
  <si>
    <t>2010-01-11</t>
  </si>
  <si>
    <t>+91-9419632965</t>
  </si>
  <si>
    <t>nitin.tiwari9@company.com</t>
  </si>
  <si>
    <t>EMP1160</t>
  </si>
  <si>
    <t>Komal Iyer</t>
  </si>
  <si>
    <t>+91-7210821160</t>
  </si>
  <si>
    <t>komal.iyer78@company.com</t>
  </si>
  <si>
    <t>EMP1142</t>
  </si>
  <si>
    <t>Mishra, Vishal</t>
  </si>
  <si>
    <t>2016-06-19</t>
  </si>
  <si>
    <t>+91-8093146603</t>
  </si>
  <si>
    <t>vishal.mishra30@company.com</t>
  </si>
  <si>
    <t>Hemant Sinha</t>
  </si>
  <si>
    <t>2010-02-08</t>
  </si>
  <si>
    <t>+91-9887427412</t>
  </si>
  <si>
    <t>EMP1119</t>
  </si>
  <si>
    <t>Sanjay Bose</t>
  </si>
  <si>
    <t>2013-04-24</t>
  </si>
  <si>
    <t>+91-9167384632</t>
  </si>
  <si>
    <t>sanjay.bose47@company.com</t>
  </si>
  <si>
    <t>Kavya Menon</t>
  </si>
  <si>
    <t>2019-10-03</t>
  </si>
  <si>
    <t>+91-7213728259</t>
  </si>
  <si>
    <t>kavya.menon35@company.com</t>
  </si>
  <si>
    <t>EMP1410</t>
  </si>
  <si>
    <t>Alok Agarwal</t>
  </si>
  <si>
    <t>2015-08-17</t>
  </si>
  <si>
    <t>+91-9468480251</t>
  </si>
  <si>
    <t>alok.agarwal80@company.com</t>
  </si>
  <si>
    <t>EMP1299</t>
  </si>
  <si>
    <t>Sunita Chopra</t>
  </si>
  <si>
    <t>2012-09-12</t>
  </si>
  <si>
    <t>+91-8603241272</t>
  </si>
  <si>
    <t>sunita.chopra44@company.com</t>
  </si>
  <si>
    <t>EMP1109</t>
  </si>
  <si>
    <t>Tejas Menon</t>
  </si>
  <si>
    <t>2010-09-19</t>
  </si>
  <si>
    <t>+91-7633282877</t>
  </si>
  <si>
    <t>tejas.menon97@company.com</t>
  </si>
  <si>
    <t>EMP1296</t>
  </si>
  <si>
    <t>Vikram Gupta</t>
  </si>
  <si>
    <t>2012-09-24</t>
  </si>
  <si>
    <t>+91-7410343578</t>
  </si>
  <si>
    <t>vikram.gupta90@company.com</t>
  </si>
  <si>
    <t>Patel, Bhavna</t>
  </si>
  <si>
    <t>2020-09-18</t>
  </si>
  <si>
    <t>+91-9196036938</t>
  </si>
  <si>
    <t>bhavna.patel20@company.com</t>
  </si>
  <si>
    <t>Iyer, Kavya</t>
  </si>
  <si>
    <t>2019-12-19</t>
  </si>
  <si>
    <t>+91-7969252345</t>
  </si>
  <si>
    <t>kavya.iyer7@company.com</t>
  </si>
  <si>
    <t>EMP1455</t>
  </si>
  <si>
    <t>Ankit Pandey</t>
  </si>
  <si>
    <t>+91-8918497883</t>
  </si>
  <si>
    <t>ankit.pandey72@company.com</t>
  </si>
  <si>
    <t>EMP1163</t>
  </si>
  <si>
    <t>Chopra, Rahul</t>
  </si>
  <si>
    <t>2021-05-18</t>
  </si>
  <si>
    <t>rahul.chopra18@company.com</t>
  </si>
  <si>
    <t>EMP1171</t>
  </si>
  <si>
    <t>2023-10-16</t>
  </si>
  <si>
    <t>+91-9110742781</t>
  </si>
  <si>
    <t>priya.saxena21@company.com</t>
  </si>
  <si>
    <t>EMP1394</t>
  </si>
  <si>
    <t>Nisha Pillai</t>
  </si>
  <si>
    <t>+91-9410875655</t>
  </si>
  <si>
    <t>nisha.pillai11@company.com</t>
  </si>
  <si>
    <t>EMP1136</t>
  </si>
  <si>
    <t>Sachin Gupta</t>
  </si>
  <si>
    <t>2015-03-22</t>
  </si>
  <si>
    <t>+91-8311991364</t>
  </si>
  <si>
    <t>sachin.gupta14@company.com</t>
  </si>
  <si>
    <t>Ankit Mehta</t>
  </si>
  <si>
    <t>+91-7228736604</t>
  </si>
  <si>
    <t>ankit.mehta48@company.com</t>
  </si>
  <si>
    <t>Rohit Verma</t>
  </si>
  <si>
    <t>+91-7924038246</t>
  </si>
  <si>
    <t>rohit.verma7@company.com</t>
  </si>
  <si>
    <t>EMP1186</t>
  </si>
  <si>
    <t>Sanjay Desai</t>
  </si>
  <si>
    <t>2018-07-28</t>
  </si>
  <si>
    <t>sanjay.desai15@company.com</t>
  </si>
  <si>
    <t>Gaurav Tiwari</t>
  </si>
  <si>
    <t>2023-09-16</t>
  </si>
  <si>
    <t>+91-9816344780</t>
  </si>
  <si>
    <t>gaurav.tiwari16@company.com</t>
  </si>
  <si>
    <t>EMP1437</t>
  </si>
  <si>
    <t>2024-04-03</t>
  </si>
  <si>
    <t>+91-7153309657</t>
  </si>
  <si>
    <t>smita.patel14@company.com</t>
  </si>
  <si>
    <t>EMP1307</t>
  </si>
  <si>
    <t>Yash Sharma</t>
  </si>
  <si>
    <t>2010-11-05</t>
  </si>
  <si>
    <t>+91-7221276607</t>
  </si>
  <si>
    <t>yash.sharma32@company.com</t>
  </si>
  <si>
    <t>EMP1309</t>
  </si>
  <si>
    <t>Sachin Rao</t>
  </si>
  <si>
    <t>2020-05-01</t>
  </si>
  <si>
    <t>+91-7806801100</t>
  </si>
  <si>
    <t>sachin.rao10@company.com</t>
  </si>
  <si>
    <t>EMP1269</t>
  </si>
  <si>
    <t>2020-06-11</t>
  </si>
  <si>
    <t>+91-9965754837</t>
  </si>
  <si>
    <t>arjun.agarwal42@company.com</t>
  </si>
  <si>
    <t>EMP1477</t>
  </si>
  <si>
    <t>Rohit Sinha</t>
  </si>
  <si>
    <t>2019-10-25</t>
  </si>
  <si>
    <t>rohit.sinha98@company.com</t>
  </si>
  <si>
    <t>2018-04-14</t>
  </si>
  <si>
    <t>+91-7752191321</t>
  </si>
  <si>
    <t>vishal.kumar55@company.com</t>
  </si>
  <si>
    <t>EMP1446</t>
  </si>
  <si>
    <t>2019-01-10</t>
  </si>
  <si>
    <t>+91-9986240440</t>
  </si>
  <si>
    <t>sunita.kapoor90@company.com</t>
  </si>
  <si>
    <t>Ankit Desai</t>
  </si>
  <si>
    <t>2022-08-08</t>
  </si>
  <si>
    <t>+91-7833293142</t>
  </si>
  <si>
    <t>ankit.desai74@company.com</t>
  </si>
  <si>
    <t>EMP1365</t>
  </si>
  <si>
    <t>Nisha Bhat</t>
  </si>
  <si>
    <t>2021-03-24</t>
  </si>
  <si>
    <t>+91-7359873139</t>
  </si>
  <si>
    <t>nisha.bhat1@company.com</t>
  </si>
  <si>
    <t>Sunita Verma</t>
  </si>
  <si>
    <t>2022-12-09</t>
  </si>
  <si>
    <t>+91-7507049745</t>
  </si>
  <si>
    <t>sunita.verma4@company.com</t>
  </si>
  <si>
    <t>EMP1168</t>
  </si>
  <si>
    <t>Piyush Nair</t>
  </si>
  <si>
    <t>2023-10-18</t>
  </si>
  <si>
    <t>+91-9408134650</t>
  </si>
  <si>
    <t>piyush@</t>
  </si>
  <si>
    <t>EMP1146</t>
  </si>
  <si>
    <t>Nitin Shah</t>
  </si>
  <si>
    <t>2011-09-09</t>
  </si>
  <si>
    <t>+91-8619547472</t>
  </si>
  <si>
    <t>nitin.shah99@company.com</t>
  </si>
  <si>
    <t>2016-06-13</t>
  </si>
  <si>
    <t>+91-9855850145</t>
  </si>
  <si>
    <t>vishal.malhotra87@company.com</t>
  </si>
  <si>
    <t>Rohit Shah</t>
  </si>
  <si>
    <t>2016-11-28</t>
  </si>
  <si>
    <t>+91-8643004186</t>
  </si>
  <si>
    <t>rohit.shah61@company.com</t>
  </si>
  <si>
    <t>EMP1209</t>
  </si>
  <si>
    <t>Gaurav Bhat</t>
  </si>
  <si>
    <t>2019-04-15</t>
  </si>
  <si>
    <t>+91-9505818950</t>
  </si>
  <si>
    <t>gaurav.bhat99@company.com</t>
  </si>
  <si>
    <t>10-8-2017</t>
  </si>
  <si>
    <t>+91-9354553463</t>
  </si>
  <si>
    <t>nitin.chatterjee53@company.com</t>
  </si>
  <si>
    <t>EMP1379</t>
  </si>
  <si>
    <t>Komal Mehta</t>
  </si>
  <si>
    <t>2016-07-25</t>
  </si>
  <si>
    <t>+91-8361384034</t>
  </si>
  <si>
    <t>komal.mehta78@company.com</t>
  </si>
  <si>
    <t>EMP1158</t>
  </si>
  <si>
    <t>2020-06-26</t>
  </si>
  <si>
    <t>+91-7578670284</t>
  </si>
  <si>
    <t>smita.patel6@company.com</t>
  </si>
  <si>
    <t>EMP1256</t>
  </si>
  <si>
    <t>YASH MEHTA</t>
  </si>
  <si>
    <t>2017-11-04</t>
  </si>
  <si>
    <t>+91-8661083050</t>
  </si>
  <si>
    <t>yash.mehta99@company.com</t>
  </si>
  <si>
    <t>EMP1499</t>
  </si>
  <si>
    <t>2021-04-27</t>
  </si>
  <si>
    <t>+91-8663336035</t>
  </si>
  <si>
    <t>priya.gupta48@company.com</t>
  </si>
  <si>
    <t>EMP1187</t>
  </si>
  <si>
    <t>Rajesh Kulkarni</t>
  </si>
  <si>
    <t>2021-08-22</t>
  </si>
  <si>
    <t>+91-8958628128</t>
  </si>
  <si>
    <t>rajesh.kulkarni90@company.com</t>
  </si>
  <si>
    <t>EMP1272</t>
  </si>
  <si>
    <t>+91-9442183999</t>
  </si>
  <si>
    <t>rekha.gupta90@company.com</t>
  </si>
  <si>
    <t>Manish Kulkarni</t>
  </si>
  <si>
    <t>2011-02-14</t>
  </si>
  <si>
    <t>+91-7257616339</t>
  </si>
  <si>
    <t>manish.kulkarni72@company.com</t>
  </si>
  <si>
    <t>EMP1211</t>
  </si>
  <si>
    <t>Meera Chatterjee</t>
  </si>
  <si>
    <t>2022-03-07</t>
  </si>
  <si>
    <t>+91-7181388972</t>
  </si>
  <si>
    <t>meera.chatterjee39@company.com</t>
  </si>
  <si>
    <t>EMP1436</t>
  </si>
  <si>
    <t>Aarti Verma</t>
  </si>
  <si>
    <t>+91-9690956330</t>
  </si>
  <si>
    <t>aarti.verma6@company.com</t>
  </si>
  <si>
    <t>EMP1175</t>
  </si>
  <si>
    <t>Sachin Iyer</t>
  </si>
  <si>
    <t>2020-08-15</t>
  </si>
  <si>
    <t>+91-8051035049</t>
  </si>
  <si>
    <t>sachin.iyer36@company.com</t>
  </si>
  <si>
    <t>EMP1144</t>
  </si>
  <si>
    <t>2011-03-16</t>
  </si>
  <si>
    <t>+91-7952495966</t>
  </si>
  <si>
    <t>piyush.singh78ATcompany.com</t>
  </si>
  <si>
    <t>Archana Banerjee</t>
  </si>
  <si>
    <t>2018-09-17</t>
  </si>
  <si>
    <t>+91-7399707954</t>
  </si>
  <si>
    <t>archana.banerjee42@company.com</t>
  </si>
  <si>
    <t>Amit Malhotra</t>
  </si>
  <si>
    <t>2023-08-04</t>
  </si>
  <si>
    <t>amit.malhotra47@company.com</t>
  </si>
  <si>
    <t>Column</t>
  </si>
  <si>
    <t>Description</t>
  </si>
  <si>
    <t>Notes</t>
  </si>
  <si>
    <t>Unique employee identifier</t>
  </si>
  <si>
    <t>Format: EMP + 4 digits. May contain duplicates (data entry error)</t>
  </si>
  <si>
    <t>Full name of employee</t>
  </si>
  <si>
    <t>Some names in UPPER CASE or reversed format (Last, First)</t>
  </si>
  <si>
    <t>Department name</t>
  </si>
  <si>
    <t>Inconsistent naming: 'IT' vs 'Information Technology', 'HR' vs 'Human Resources'</t>
  </si>
  <si>
    <t>City/office location</t>
  </si>
  <si>
    <t>Inconsistent: 'Mumbai' vs 'mumbai', 'Bangalore' vs 'Bengaluru'</t>
  </si>
  <si>
    <t>Designation</t>
  </si>
  <si>
    <t>Standard titles</t>
  </si>
  <si>
    <t>Employee gender</t>
  </si>
  <si>
    <t>Inconsistent: 'Male'/'male'/'M'/'MALE'</t>
  </si>
  <si>
    <t>Age in years</t>
  </si>
  <si>
    <t>Some erroneous values (negative, &gt;100)</t>
  </si>
  <si>
    <t>Highest qualification</t>
  </si>
  <si>
    <t>Standard values</t>
  </si>
  <si>
    <t>Current status</t>
  </si>
  <si>
    <t>Inconsistent: 'Active'/'active'/'ACTIVE'</t>
  </si>
  <si>
    <t>Date of joining</t>
  </si>
  <si>
    <t>Multiple date formats used</t>
  </si>
  <si>
    <t>Total years of experience</t>
  </si>
  <si>
    <t>Some blank values</t>
  </si>
  <si>
    <t>Annual CTC in INR</t>
  </si>
  <si>
    <t>Some 'N/A', blank, or negative values</t>
  </si>
  <si>
    <t>Annual bonus as % of salary</t>
  </si>
  <si>
    <t>Some blanks</t>
  </si>
  <si>
    <t>Rating 1-5</t>
  </si>
  <si>
    <t>Some 'N/A' or 'Pending'</t>
  </si>
  <si>
    <t>Has employee left?</t>
  </si>
  <si>
    <t>Yes/No with inconsistent casing</t>
  </si>
  <si>
    <t>Contact number</t>
  </si>
  <si>
    <t>Some invalid or blank</t>
  </si>
  <si>
    <t>Work email</t>
  </si>
  <si>
    <t>Some invalid formats</t>
  </si>
  <si>
    <t>Monthly overtime hours</t>
  </si>
  <si>
    <t>Annual training hours</t>
  </si>
  <si>
    <t>Clean</t>
  </si>
  <si>
    <t>Reporting manager Employee ID</t>
  </si>
  <si>
    <t>Email_Valid</t>
  </si>
  <si>
    <t>Rekha Saxena</t>
  </si>
  <si>
    <t>Tejas Bhat</t>
  </si>
  <si>
    <t>Rohit Kulkarni</t>
  </si>
  <si>
    <t>Pooja Pillai</t>
  </si>
  <si>
    <t>Karan Sharma</t>
  </si>
  <si>
    <t>Priya Singh</t>
  </si>
  <si>
    <t>Nikhil Mishra</t>
  </si>
  <si>
    <t>Sachin Banerjee</t>
  </si>
  <si>
    <t>Kavya Banerjee</t>
  </si>
  <si>
    <t>Shruti Iyer</t>
  </si>
  <si>
    <t>Tejas Joshi</t>
  </si>
  <si>
    <t>Kavya Saxena</t>
  </si>
  <si>
    <t>anjalipandeyat-company.com</t>
  </si>
  <si>
    <t>nikhilbose@companycom</t>
  </si>
  <si>
    <t>piyushsinghat-company.com</t>
  </si>
  <si>
    <t>shrutinairat-company.com</t>
  </si>
  <si>
    <t>rituchopra@companycom</t>
  </si>
  <si>
    <t>anjalinairat-company.com</t>
  </si>
  <si>
    <t>nishasinha@companycom</t>
  </si>
  <si>
    <t>nitinkumar@companycom</t>
  </si>
  <si>
    <t>deepakchopra@companycom</t>
  </si>
  <si>
    <t>anjalipatel@companycom</t>
  </si>
  <si>
    <t>agarwal,kavya@companycom</t>
  </si>
  <si>
    <t>rao,hemantat-company.com</t>
  </si>
  <si>
    <t>kavyaiyer@companycom</t>
  </si>
  <si>
    <t>mayurboseat-company.com</t>
  </si>
  <si>
    <t>kumar,karan@companycom</t>
  </si>
  <si>
    <t>deepakverma@companycom</t>
  </si>
  <si>
    <t>komalsinhaat-company.com</t>
  </si>
  <si>
    <t>ritushahat-company.com</t>
  </si>
  <si>
    <t>hemantsaxena@companycom</t>
  </si>
  <si>
    <t>alokiyerat-company.com</t>
  </si>
  <si>
    <t>rekhakumar@companycom</t>
  </si>
  <si>
    <t>priyamehtaat-company.com</t>
  </si>
  <si>
    <t>anjaliiyerat-company.com</t>
  </si>
  <si>
    <t>vishalnair@companycom</t>
  </si>
  <si>
    <t>anjaliraoat-company.com</t>
  </si>
  <si>
    <t>yashshah@companycom</t>
  </si>
  <si>
    <t>smitasaxenaat-company.com</t>
  </si>
  <si>
    <t>vishalkapoor@companycom</t>
  </si>
  <si>
    <t>rohitreddy@companycom</t>
  </si>
  <si>
    <t>rekhatiwariat-company.com</t>
  </si>
  <si>
    <t>aartipatel@companycom</t>
  </si>
  <si>
    <t>swatidesaiat-company.com</t>
  </si>
  <si>
    <t>nishapillai@companycom</t>
  </si>
  <si>
    <t>komalmehta@companycom</t>
  </si>
  <si>
    <t>yashgupta@companycom</t>
  </si>
  <si>
    <t>shrutibhat@company.com</t>
  </si>
  <si>
    <t>sunitasharma@company.com</t>
  </si>
  <si>
    <t>rahulpatel@company.com</t>
  </si>
  <si>
    <t>ankitnair@company.com</t>
  </si>
  <si>
    <t>piyushboseat-company.com</t>
  </si>
  <si>
    <t>priyasinhaat-company.com</t>
  </si>
  <si>
    <t>archanakapoorat-company.com</t>
  </si>
  <si>
    <t>pallaviverma@company.com</t>
  </si>
  <si>
    <t>rekhasaxena@companycom</t>
  </si>
  <si>
    <t>preetibanerjee@companycom</t>
  </si>
  <si>
    <t>vikramkapoor@company.com</t>
  </si>
  <si>
    <t>karanpatelat-company.com</t>
  </si>
  <si>
    <t>anjaligupta@company.com</t>
  </si>
  <si>
    <t>anjalimehta@company.com</t>
  </si>
  <si>
    <t>arjunreddy@company.com</t>
  </si>
  <si>
    <t>amitdesai@company.com</t>
  </si>
  <si>
    <t>sanjayjoshi@company.com</t>
  </si>
  <si>
    <t>nikhilnairat-company.com</t>
  </si>
  <si>
    <t>nikhildesaiat-company.com</t>
  </si>
  <si>
    <t>komalpatel@company.com</t>
  </si>
  <si>
    <t>manishbose@company.com</t>
  </si>
  <si>
    <t>hemantmenon@company.com</t>
  </si>
  <si>
    <t>varshapandey@company.com</t>
  </si>
  <si>
    <t>geetachatterjee@company.com</t>
  </si>
  <si>
    <t>tanvimenon@company.com</t>
  </si>
  <si>
    <t>rekhagupta@company.com</t>
  </si>
  <si>
    <t>tanvimalhotraat-company.com</t>
  </si>
  <si>
    <t>yashchopraat-company.com</t>
  </si>
  <si>
    <t>priyaagarwal@company.com</t>
  </si>
  <si>
    <t>nitinchatterjee@company.com</t>
  </si>
  <si>
    <t>deepakbhat@company.com</t>
  </si>
  <si>
    <t>desai,varshaat-company.com</t>
  </si>
  <si>
    <t>varshabanerjee@company.com</t>
  </si>
  <si>
    <t>tejasbhat@company.com</t>
  </si>
  <si>
    <t>meerabanerjee@company.com</t>
  </si>
  <si>
    <t>swatishah@company.com</t>
  </si>
  <si>
    <t>smitagupta@company.com</t>
  </si>
  <si>
    <t>snehaverma@company.com</t>
  </si>
  <si>
    <t>priyasaxena@company.com</t>
  </si>
  <si>
    <t>ankitiyer@company.com</t>
  </si>
  <si>
    <t>kavyabhat@company.com</t>
  </si>
  <si>
    <t>rohitshahat-company.com</t>
  </si>
  <si>
    <t>geetabose@company.com</t>
  </si>
  <si>
    <t>preetipatelat-company.com</t>
  </si>
  <si>
    <t>archanabhat@companycom</t>
  </si>
  <si>
    <t>arunverma@company.com</t>
  </si>
  <si>
    <t>kavyapandey@companycom</t>
  </si>
  <si>
    <t>yashjoshi@companycom</t>
  </si>
  <si>
    <t>komalpillai@company.com</t>
  </si>
  <si>
    <t>tejassinha@company.com</t>
  </si>
  <si>
    <t>nikhilpandey@company.com</t>
  </si>
  <si>
    <t>archanabose@company.com</t>
  </si>
  <si>
    <t>rohitkulkarni@company.com</t>
  </si>
  <si>
    <t>varshamenon@company.com</t>
  </si>
  <si>
    <t>vishalchopraat-company.com</t>
  </si>
  <si>
    <t>hemantkulkarni@company.com</t>
  </si>
  <si>
    <t>nishakapoor@company.com</t>
  </si>
  <si>
    <t>mayuriyer@company.com</t>
  </si>
  <si>
    <t>yashkapoor@company.com</t>
  </si>
  <si>
    <t>geetakulkarni@company.com</t>
  </si>
  <si>
    <t>archanasinghat-company.com</t>
  </si>
  <si>
    <t>tanvikapoor@companycom</t>
  </si>
  <si>
    <t>piyushkumar@company.com</t>
  </si>
  <si>
    <t>priyabose@company.com</t>
  </si>
  <si>
    <t>deepaksaxena@companycom</t>
  </si>
  <si>
    <t>pillai,vishalat-company.com</t>
  </si>
  <si>
    <t>nishapatel@companycom</t>
  </si>
  <si>
    <t>yashbhat@company.com</t>
  </si>
  <si>
    <t>priyatiwariat-company.com</t>
  </si>
  <si>
    <t>ritukumar@companycom</t>
  </si>
  <si>
    <t>poojapillai@company.com</t>
  </si>
  <si>
    <t>varshamalhotraat-company.com</t>
  </si>
  <si>
    <t>sureshrao@company.com</t>
  </si>
  <si>
    <t>gauravreddy@company.com</t>
  </si>
  <si>
    <t>arunchatterjee@company.com</t>
  </si>
  <si>
    <t>sureshiyer@company.com</t>
  </si>
  <si>
    <t>tanvireddy@company.com</t>
  </si>
  <si>
    <t>nishamishra@company.com</t>
  </si>
  <si>
    <t>snehasinha@company.com</t>
  </si>
  <si>
    <t>aartiraoat-company.com</t>
  </si>
  <si>
    <t>deepakjoshi@companycom</t>
  </si>
  <si>
    <t>tanvichatterjee@company.com</t>
  </si>
  <si>
    <t>rajeshnair@company.com</t>
  </si>
  <si>
    <t>aartibanerjee@companycom</t>
  </si>
  <si>
    <t>yashboseat-company.com</t>
  </si>
  <si>
    <t>geetapillaiat-company.com</t>
  </si>
  <si>
    <t>snehashah@company.com</t>
  </si>
  <si>
    <t>manishpatel@company.com</t>
  </si>
  <si>
    <t>preetireddy@company.com</t>
  </si>
  <si>
    <t>vikrampillai@company.com</t>
  </si>
  <si>
    <t>shwetatiwari@companycom</t>
  </si>
  <si>
    <t>sanjaykapoor@company.com</t>
  </si>
  <si>
    <t>deepakbanerjee@company.com</t>
  </si>
  <si>
    <t>geetavermaat-company.com</t>
  </si>
  <si>
    <t>nishasaxena@companycom</t>
  </si>
  <si>
    <t>shrutikumar@companycom</t>
  </si>
  <si>
    <t>tanvibose@company.com</t>
  </si>
  <si>
    <t>smitakapoor@company.com</t>
  </si>
  <si>
    <t>vishalmalhotra@company.com</t>
  </si>
  <si>
    <t>rajeshpatel@company.com</t>
  </si>
  <si>
    <t>karanchopra@companycom</t>
  </si>
  <si>
    <t>vishalmenonat-company.com</t>
  </si>
  <si>
    <t>bhavnamishra@company.com</t>
  </si>
  <si>
    <t>nehachatterjee@company.com</t>
  </si>
  <si>
    <t>sunitaiyer@companycom</t>
  </si>
  <si>
    <t>aartikumar@company.com</t>
  </si>
  <si>
    <t>bose,hemant@companycom</t>
  </si>
  <si>
    <t>nitinraoat-company.com</t>
  </si>
  <si>
    <t>rahulbanerjee@company.com</t>
  </si>
  <si>
    <t>piyushpatel@company.com</t>
  </si>
  <si>
    <t>mayurpillaiat-company.com</t>
  </si>
  <si>
    <t>poojatiwari@company.com</t>
  </si>
  <si>
    <t>nishajoshiat-company.com</t>
  </si>
  <si>
    <t>preetibose@company.com</t>
  </si>
  <si>
    <t>gupta,vikram@companycom</t>
  </si>
  <si>
    <t>nishanairat-company.com</t>
  </si>
  <si>
    <t>nishabose@company.com</t>
  </si>
  <si>
    <t>poojachopra@company.com</t>
  </si>
  <si>
    <t>snehaiyer@company.com</t>
  </si>
  <si>
    <t>divyaagarwal@company.com</t>
  </si>
  <si>
    <t>sunitasingh@company.com</t>
  </si>
  <si>
    <t>piyushpillai@company.com</t>
  </si>
  <si>
    <t>nikhilraoat-company.com</t>
  </si>
  <si>
    <t>patel,gaurav@company.com</t>
  </si>
  <si>
    <t>amitboseat-company.com</t>
  </si>
  <si>
    <t>gauravmalhotra@companycom</t>
  </si>
  <si>
    <t>meerabhat@company.com</t>
  </si>
  <si>
    <t>aartiagarwal@company.com</t>
  </si>
  <si>
    <t>karansharma@company.com</t>
  </si>
  <si>
    <t>mayurverma@company.com</t>
  </si>
  <si>
    <t>swatikapoorat-company.com</t>
  </si>
  <si>
    <t>rahulmenon@company.com</t>
  </si>
  <si>
    <t>viveksaxena@company.com</t>
  </si>
  <si>
    <t>amitsingh@company.com</t>
  </si>
  <si>
    <t>nitinmalhotra@company.com</t>
  </si>
  <si>
    <t>bhavnakumar@company.com</t>
  </si>
  <si>
    <t>pallavimehta@company.com</t>
  </si>
  <si>
    <t>kavyajoshiat-company.com</t>
  </si>
  <si>
    <t>arunmalhotra@companycom</t>
  </si>
  <si>
    <t>pallavikapoor@companycom</t>
  </si>
  <si>
    <t>meeraraoat-company.com</t>
  </si>
  <si>
    <t>divyasaxena@company.com</t>
  </si>
  <si>
    <t>amitchatterjeeat-company.com</t>
  </si>
  <si>
    <t>joshi,deepak@company.com</t>
  </si>
  <si>
    <t>sureshagarwal@company.com</t>
  </si>
  <si>
    <t>tanvitiwari@company.com</t>
  </si>
  <si>
    <t>alokkapoorat-company.com</t>
  </si>
  <si>
    <t>sachinsinghat-company.com</t>
  </si>
  <si>
    <t>swatibose@companycom</t>
  </si>
  <si>
    <t>nehabhat@companycom</t>
  </si>
  <si>
    <t>kavyakumarat-company.com</t>
  </si>
  <si>
    <t>priyarao@companycom</t>
  </si>
  <si>
    <t>alokdesai@company.com</t>
  </si>
  <si>
    <t>tejasgupta@company.com</t>
  </si>
  <si>
    <t>rajeshshah@companycom</t>
  </si>
  <si>
    <t>nitinkapoor@company.com</t>
  </si>
  <si>
    <t>smitadesai@companycom</t>
  </si>
  <si>
    <t>geetasingh@company.com</t>
  </si>
  <si>
    <t>smitakumar@company.com</t>
  </si>
  <si>
    <t>bhavnabanerjeeat-company.com</t>
  </si>
  <si>
    <t>bhavnabhat@company.com</t>
  </si>
  <si>
    <t>saxena,nikhil@company.com</t>
  </si>
  <si>
    <t>smitasinghat-company.com</t>
  </si>
  <si>
    <t>amitpandey@company.com</t>
  </si>
  <si>
    <t>kavyagupta@company.com</t>
  </si>
  <si>
    <t>ankitchatterjee@company.com</t>
  </si>
  <si>
    <t>poojadesai@companycom</t>
  </si>
  <si>
    <t>vishalvermaat-company.com</t>
  </si>
  <si>
    <t>kavyasharma@companycom</t>
  </si>
  <si>
    <t>varshasinghat-company.com</t>
  </si>
  <si>
    <t>mayurnairat-company.com</t>
  </si>
  <si>
    <t>arunsharma@company.com</t>
  </si>
  <si>
    <t>preetitiwari@company.com</t>
  </si>
  <si>
    <t>rahulbose@company.com</t>
  </si>
  <si>
    <t>poojamenonat-company.com</t>
  </si>
  <si>
    <t>priyapillai@company.com</t>
  </si>
  <si>
    <t>rajeshraoat-company.com</t>
  </si>
  <si>
    <t>priyasingh@company.com</t>
  </si>
  <si>
    <t>archanamehta@company.com</t>
  </si>
  <si>
    <t>rekhaiyer@company.com</t>
  </si>
  <si>
    <t>geetatiwari@company.com</t>
  </si>
  <si>
    <t>sureshgupta@company.com</t>
  </si>
  <si>
    <t>tejasraoat-company.com</t>
  </si>
  <si>
    <t>vivekpandey@company.com</t>
  </si>
  <si>
    <t>shwetachatterjee@company.com</t>
  </si>
  <si>
    <t>snehadesai@company.com</t>
  </si>
  <si>
    <t>kavyaagarwalat-company.com</t>
  </si>
  <si>
    <t>vishalbanerjeeat-company.com</t>
  </si>
  <si>
    <t>nikhilmishra@companycom</t>
  </si>
  <si>
    <t>deepakpandey@company.com</t>
  </si>
  <si>
    <t>sachinbanerjee@companycom</t>
  </si>
  <si>
    <t>vikramshah@company.com</t>
  </si>
  <si>
    <t>gauravkumarat-company.com</t>
  </si>
  <si>
    <t>rajeshsingh@companycom</t>
  </si>
  <si>
    <t>pallavinairat-company.com</t>
  </si>
  <si>
    <t>tiwari,komalat-company.com</t>
  </si>
  <si>
    <t>patel,shruti@company.com</t>
  </si>
  <si>
    <t>kavyabanerjee@company.com</t>
  </si>
  <si>
    <t>vikramdesai@company.com</t>
  </si>
  <si>
    <t>archanashahat-company.com</t>
  </si>
  <si>
    <t>shrutiiyer@company.com</t>
  </si>
  <si>
    <t>manishchopraat-company.com</t>
  </si>
  <si>
    <t>nehachopra@companycom</t>
  </si>
  <si>
    <t>vishalshahat-company.com</t>
  </si>
  <si>
    <t>pallavisinha@company.com</t>
  </si>
  <si>
    <t>nitinmishra@companycom</t>
  </si>
  <si>
    <t>arunbanerjeeat-company.com</t>
  </si>
  <si>
    <t>manishjoshi@company.com</t>
  </si>
  <si>
    <t>sanjaytiwari@company.com</t>
  </si>
  <si>
    <t>preetipandey@company.com</t>
  </si>
  <si>
    <t>tejasjoshi@companycom</t>
  </si>
  <si>
    <t>karankumarat-company.com</t>
  </si>
  <si>
    <t>swatigupta@company.com</t>
  </si>
  <si>
    <t>bhavnagupta@company.com</t>
  </si>
  <si>
    <t>gauravmehta@companycom</t>
  </si>
  <si>
    <t>arjunagarwal@companycom</t>
  </si>
  <si>
    <t>hemantverma@company.com</t>
  </si>
  <si>
    <t>rahuljoshi@companycom</t>
  </si>
  <si>
    <t>yashkulkarni@companycom</t>
  </si>
  <si>
    <t>nitinsaxena@companycom</t>
  </si>
  <si>
    <t>aartinairat-company.com</t>
  </si>
  <si>
    <t>shwetabanerjeeat-company.com</t>
  </si>
  <si>
    <t>poojasharmaat-company.com</t>
  </si>
  <si>
    <t>divyakumar@company.com</t>
  </si>
  <si>
    <t>tanvibhat@company.com</t>
  </si>
  <si>
    <t>komalsingh@company.com</t>
  </si>
  <si>
    <t>arjunmenon@company.com</t>
  </si>
  <si>
    <t>arunjoshiat-company.com</t>
  </si>
  <si>
    <t>sanjaysinhaat-company.com</t>
  </si>
  <si>
    <t>yashpillai@company.com</t>
  </si>
  <si>
    <t>arjunnair@company.com</t>
  </si>
  <si>
    <t>priyakumar@company.com</t>
  </si>
  <si>
    <t>meeraagarwalat-company.com</t>
  </si>
  <si>
    <t>kavyasaxena@company.com</t>
  </si>
  <si>
    <t>aloksaxenaat-company.com</t>
  </si>
  <si>
    <t>priyaguptaat-company.com</t>
  </si>
  <si>
    <t>sureshtiwari@company.com</t>
  </si>
  <si>
    <t>vikrammehtaat-company.com</t>
  </si>
  <si>
    <t>smitakulkarni@company.com</t>
  </si>
  <si>
    <t>arunrao@company.com</t>
  </si>
  <si>
    <t>hemantgupta@company.com</t>
  </si>
  <si>
    <t>deepakpatel@company.com</t>
  </si>
  <si>
    <t>pallavisingh@company.com</t>
  </si>
  <si>
    <t>alokchopra@company.com</t>
  </si>
  <si>
    <t>alokbhat@company.com</t>
  </si>
  <si>
    <t>shwetakumarat-company.com</t>
  </si>
  <si>
    <t>smitapatel@company.com</t>
  </si>
  <si>
    <t>sachinchatterjee@companycom</t>
  </si>
  <si>
    <t>aartimehta@company.com</t>
  </si>
  <si>
    <t>shrutishah@company.com</t>
  </si>
  <si>
    <t>vikramnair@company.com</t>
  </si>
  <si>
    <t>rahulmalhotraat-company.com</t>
  </si>
  <si>
    <t>rahulsingh@company.com</t>
  </si>
  <si>
    <t>anjalisingh@company.com</t>
  </si>
  <si>
    <t>preetisaxena@companycom</t>
  </si>
  <si>
    <t>anjalibhat@company.com</t>
  </si>
  <si>
    <t>rajeshsaxenaat-company.com</t>
  </si>
  <si>
    <t>hemantkumarat-company.com</t>
  </si>
  <si>
    <t>sinha,divya@companycom</t>
  </si>
  <si>
    <t>piyushgupta@companycom</t>
  </si>
  <si>
    <t>nitintiwari@company.com</t>
  </si>
  <si>
    <t>komaliyerat-company.com</t>
  </si>
  <si>
    <t>mishra,vishal@company.com</t>
  </si>
  <si>
    <t>hemantsinha@company.com</t>
  </si>
  <si>
    <t>sanjaybose@companycom</t>
  </si>
  <si>
    <t>kavyamenon@company.com</t>
  </si>
  <si>
    <t>alokagarwal@company.com</t>
  </si>
  <si>
    <t>sunitachopraat-company.com</t>
  </si>
  <si>
    <t>tejasmenon@company.com</t>
  </si>
  <si>
    <t>vikramgupta@company.com</t>
  </si>
  <si>
    <t>patel,bhavna@company.com</t>
  </si>
  <si>
    <t>ankitpandey@company.com</t>
  </si>
  <si>
    <t>ankitmehta@company.com</t>
  </si>
  <si>
    <t>rohitvermaat-company.com</t>
  </si>
  <si>
    <t>gauravtiwariat-company.com</t>
  </si>
  <si>
    <t>yashsharma@company.com</t>
  </si>
  <si>
    <t>sachinrao@company.com</t>
  </si>
  <si>
    <t>vishalkumar@company.com</t>
  </si>
  <si>
    <t>ankitdesaiat-company.com</t>
  </si>
  <si>
    <t>nishabhat@company.com</t>
  </si>
  <si>
    <t>nitinshah@companycom</t>
  </si>
  <si>
    <t>yashmehta@companycom</t>
  </si>
  <si>
    <t>manishkulkarni@company.com</t>
  </si>
  <si>
    <t>meerachatterjeeat-company.com</t>
  </si>
  <si>
    <t>aartiverma@companycom</t>
  </si>
  <si>
    <t>sachiniyer@companycom</t>
  </si>
  <si>
    <t>archanabanerjee@company.com</t>
  </si>
  <si>
    <t>Joining_Month_Num</t>
  </si>
  <si>
    <t>Joining_Month_Name</t>
  </si>
  <si>
    <t>Joining_Year</t>
  </si>
  <si>
    <t>Tenure_Years</t>
  </si>
  <si>
    <t>Age_Group</t>
  </si>
  <si>
    <t>Salary_Band</t>
  </si>
  <si>
    <t>Performance_Category</t>
  </si>
  <si>
    <t>Bonus_Amount</t>
  </si>
  <si>
    <t>Experience_Category</t>
  </si>
  <si>
    <t>Total Employees</t>
  </si>
  <si>
    <t>Active Employees</t>
  </si>
  <si>
    <t>Attrition Count</t>
  </si>
  <si>
    <t>Attrition Rate %</t>
  </si>
  <si>
    <t>Avg Age</t>
  </si>
  <si>
    <t>Avg Tenure (Years)</t>
  </si>
  <si>
    <t>Avg Salary (₹)</t>
  </si>
  <si>
    <t>DEPARTMENT</t>
  </si>
  <si>
    <t>Headcount</t>
  </si>
  <si>
    <t>Avg Salary</t>
  </si>
  <si>
    <t>HEADCOUNT OVERVIEW</t>
  </si>
  <si>
    <t>GENDER SPLIT</t>
  </si>
  <si>
    <t>Grand Total</t>
  </si>
  <si>
    <t>Count of Employees</t>
  </si>
  <si>
    <t>Count Employees</t>
  </si>
  <si>
    <t>Average</t>
  </si>
  <si>
    <t>Below Average</t>
  </si>
  <si>
    <t>Excellent</t>
  </si>
  <si>
    <t>Good</t>
  </si>
  <si>
    <t>Poor</t>
  </si>
  <si>
    <t>Performance Category</t>
  </si>
  <si>
    <t>Expert (10+ yrs)</t>
  </si>
  <si>
    <t>Junior (0-2 yrs)</t>
  </si>
  <si>
    <t>Mid-Level (2-5 yrs)</t>
  </si>
  <si>
    <t>Senior (5-10 yrs)</t>
  </si>
  <si>
    <t>Band 1: &lt;5L</t>
  </si>
  <si>
    <t>Band 2: 5-10L</t>
  </si>
  <si>
    <t>Band 3: 10-15L</t>
  </si>
  <si>
    <t>Band 4: 15-20L</t>
  </si>
  <si>
    <t>Band 5: 20L+</t>
  </si>
  <si>
    <t>Experience Category</t>
  </si>
  <si>
    <t>Salary Band</t>
  </si>
  <si>
    <t>🏢  HUMAN RESOURCES ANALYTICS DASHBOARD</t>
  </si>
  <si>
    <t>FY 2024-25  |  Confidential  |  HR Department</t>
  </si>
  <si>
    <t>👥 TOTAL EMPLOYEES</t>
  </si>
  <si>
    <t>✅ ACTIVE EMPLOYEES</t>
  </si>
  <si>
    <t>⚠️ ATTRITION RATE</t>
  </si>
  <si>
    <t>💰 AVG ANNUAL SALARY</t>
  </si>
  <si>
    <t>📅 AVG TENURE</t>
  </si>
  <si>
    <t>🎂 AVG AGE</t>
  </si>
  <si>
    <t>🔽 FILTER BY GENDER</t>
  </si>
  <si>
    <t>🔽 FILTER BY LOCATION</t>
  </si>
  <si>
    <t>🔽 FILTER BY DEPARTMENT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</si>
</sst>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quot;₹&quot;\ #,##0"/>
    <numFmt numFmtId="166" formatCode="0.0%"/>
  </numFmts>
  <fonts count="16" x14ac:knownFonts="1">
    <font>
      <sz val="11"/>
      <color theme="1"/>
      <name val="Calibri"/>
      <family val="2"/>
      <scheme val="minor"/>
    </font>
    <font>
      <sz val="10"/>
      <name val="Arial"/>
    </font>
    <font>
      <b/>
      <sz val="11"/>
      <color rgb="FFFFFFFF"/>
      <name val="Arial"/>
    </font>
    <font>
      <b/>
      <sz val="11"/>
      <color theme="1"/>
      <name val="Calibri"/>
      <family val="2"/>
      <scheme val="minor"/>
    </font>
    <font>
      <b/>
      <sz val="11"/>
      <color theme="1"/>
      <name val="Arial"/>
      <family val="2"/>
    </font>
    <font>
      <sz val="10"/>
      <color theme="1"/>
      <name val="Arial"/>
      <family val="2"/>
    </font>
    <font>
      <b/>
      <sz val="20"/>
      <color theme="0"/>
      <name val="Arial"/>
      <family val="2"/>
    </font>
    <font>
      <i/>
      <sz val="10"/>
      <color theme="0"/>
      <name val="Arial"/>
      <family val="2"/>
    </font>
    <font>
      <b/>
      <sz val="28"/>
      <color rgb="FF002060"/>
      <name val="Arial"/>
      <family val="2"/>
    </font>
    <font>
      <b/>
      <sz val="9"/>
      <color rgb="FF808080"/>
      <name val="Arial"/>
      <family val="2"/>
    </font>
    <font>
      <b/>
      <sz val="28"/>
      <color rgb="FF00B050"/>
      <name val="Arial"/>
      <family val="2"/>
    </font>
    <font>
      <sz val="9"/>
      <color rgb="FF808080"/>
      <name val="Arial"/>
      <family val="2"/>
    </font>
    <font>
      <b/>
      <sz val="28"/>
      <color rgb="FFFF0000"/>
      <name val="Arial"/>
      <family val="2"/>
    </font>
    <font>
      <b/>
      <sz val="28"/>
      <color rgb="FF7030A0"/>
      <name val="Arial"/>
      <family val="2"/>
    </font>
    <font>
      <b/>
      <sz val="28"/>
      <color rgb="FF014D4E"/>
      <name val="Arial"/>
      <family val="2"/>
    </font>
    <font>
      <b/>
      <sz val="9"/>
      <color theme="0"/>
      <name val="Arial"/>
      <family val="2"/>
    </font>
  </fonts>
  <fills count="9">
    <fill>
      <patternFill patternType="none"/>
    </fill>
    <fill>
      <patternFill patternType="gray125"/>
    </fill>
    <fill>
      <patternFill patternType="solid">
        <fgColor rgb="FF375623"/>
      </patternFill>
    </fill>
    <fill>
      <patternFill patternType="solid">
        <fgColor rgb="FFF2F2F2"/>
        <bgColor indexed="64"/>
      </patternFill>
    </fill>
    <fill>
      <patternFill patternType="solid">
        <fgColor rgb="FF1F4E79"/>
        <bgColor indexed="64"/>
      </patternFill>
    </fill>
    <fill>
      <patternFill patternType="solid">
        <fgColor rgb="FF2E75B6"/>
        <bgColor indexed="64"/>
      </patternFill>
    </fill>
    <fill>
      <patternFill patternType="solid">
        <fgColor rgb="FFFFD700"/>
        <bgColor indexed="64"/>
      </patternFill>
    </fill>
    <fill>
      <patternFill patternType="solid">
        <fgColor theme="0"/>
        <bgColor indexed="64"/>
      </patternFill>
    </fill>
    <fill>
      <patternFill patternType="solid">
        <fgColor rgb="FF00206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84">
    <xf numFmtId="0" fontId="0" fillId="0" borderId="0" xfId="0"/>
    <xf numFmtId="0" fontId="5" fillId="0" borderId="0" xfId="0" applyFont="1" applyFill="1" applyBorder="1" applyAlignment="1"/>
    <xf numFmtId="0" fontId="4" fillId="0" borderId="0" xfId="0" applyFont="1" applyFill="1" applyBorder="1" applyAlignment="1">
      <alignment horizontal="center" vertical="center"/>
    </xf>
    <xf numFmtId="0" fontId="1" fillId="0" borderId="0" xfId="0" applyFont="1" applyAlignment="1"/>
    <xf numFmtId="0" fontId="2" fillId="2" borderId="0" xfId="0" applyFont="1" applyFill="1" applyAlignment="1">
      <alignment horizontal="center" vertical="center"/>
    </xf>
    <xf numFmtId="14" fontId="5" fillId="0" borderId="0" xfId="0" applyNumberFormat="1" applyFont="1" applyFill="1" applyBorder="1" applyAlignment="1"/>
    <xf numFmtId="14" fontId="0" fillId="0" borderId="0" xfId="0" applyNumberFormat="1"/>
    <xf numFmtId="3" fontId="5" fillId="0" borderId="0" xfId="0" applyNumberFormat="1" applyFont="1" applyFill="1" applyBorder="1" applyAlignment="1"/>
    <xf numFmtId="164" fontId="5" fillId="0" borderId="0" xfId="0" applyNumberFormat="1" applyFont="1" applyFill="1" applyBorder="1" applyAlignment="1"/>
    <xf numFmtId="164" fontId="0" fillId="0" borderId="0" xfId="0" applyNumberFormat="1"/>
    <xf numFmtId="1" fontId="5" fillId="0" borderId="0" xfId="0" applyNumberFormat="1" applyFont="1" applyFill="1" applyBorder="1" applyAlignment="1"/>
    <xf numFmtId="165" fontId="5" fillId="0" borderId="0" xfId="0" applyNumberFormat="1" applyFont="1" applyFill="1" applyBorder="1" applyAlignment="1"/>
    <xf numFmtId="166" fontId="5" fillId="0" borderId="0" xfId="0" applyNumberFormat="1" applyFont="1" applyFill="1" applyBorder="1" applyAlignment="1"/>
    <xf numFmtId="166" fontId="0" fillId="0" borderId="0" xfId="0" applyNumberFormat="1"/>
    <xf numFmtId="165" fontId="0" fillId="0" borderId="0" xfId="0" applyNumberFormat="1"/>
    <xf numFmtId="0" fontId="4" fillId="0" borderId="1" xfId="0" applyFont="1" applyFill="1" applyBorder="1" applyAlignment="1">
      <alignment horizontal="center" vertical="center"/>
    </xf>
    <xf numFmtId="14" fontId="4" fillId="0" borderId="1" xfId="0" applyNumberFormat="1" applyFont="1" applyFill="1" applyBorder="1" applyAlignment="1">
      <alignment horizontal="center" vertical="center"/>
    </xf>
    <xf numFmtId="164" fontId="4" fillId="0" borderId="1" xfId="0" applyNumberFormat="1" applyFont="1" applyFill="1" applyBorder="1" applyAlignment="1">
      <alignment horizontal="center" vertical="center"/>
    </xf>
    <xf numFmtId="165" fontId="4" fillId="0" borderId="1" xfId="0" applyNumberFormat="1" applyFont="1" applyFill="1" applyBorder="1" applyAlignment="1">
      <alignment horizontal="center" vertical="center"/>
    </xf>
    <xf numFmtId="166" fontId="4" fillId="0" borderId="1" xfId="0" applyNumberFormat="1" applyFont="1" applyFill="1" applyBorder="1" applyAlignment="1">
      <alignment horizontal="center" vertical="center"/>
    </xf>
    <xf numFmtId="3" fontId="0" fillId="0" borderId="0" xfId="0" applyNumberFormat="1"/>
    <xf numFmtId="0" fontId="0" fillId="0" borderId="1" xfId="0" applyBorder="1"/>
    <xf numFmtId="3" fontId="0" fillId="0" borderId="1" xfId="0" applyNumberFormat="1" applyBorder="1"/>
    <xf numFmtId="164" fontId="0" fillId="0" borderId="1" xfId="0" applyNumberFormat="1" applyBorder="1"/>
    <xf numFmtId="1" fontId="0" fillId="0" borderId="1" xfId="0" applyNumberFormat="1" applyBorder="1"/>
    <xf numFmtId="165" fontId="0" fillId="0" borderId="1" xfId="0" applyNumberFormat="1" applyBorder="1"/>
    <xf numFmtId="0" fontId="3" fillId="0" borderId="1" xfId="0" applyFont="1" applyBorder="1" applyAlignment="1">
      <alignment horizontal="center" vertical="center"/>
    </xf>
    <xf numFmtId="9" fontId="0" fillId="0" borderId="1" xfId="0" applyNumberFormat="1" applyBorder="1"/>
    <xf numFmtId="0" fontId="0" fillId="0" borderId="0" xfId="0" pivotButton="1"/>
    <xf numFmtId="0" fontId="0" fillId="3" borderId="0" xfId="0" applyFill="1"/>
    <xf numFmtId="0" fontId="0" fillId="3" borderId="0" xfId="0" applyFill="1" applyBorder="1"/>
    <xf numFmtId="0" fontId="3" fillId="0" borderId="1" xfId="0" applyFont="1" applyBorder="1" applyAlignment="1">
      <alignment horizontal="center" vertical="center"/>
    </xf>
    <xf numFmtId="0" fontId="3" fillId="0" borderId="1" xfId="0" applyFont="1" applyFill="1" applyBorder="1" applyAlignment="1">
      <alignment horizontal="center" vertical="center"/>
    </xf>
    <xf numFmtId="0" fontId="6" fillId="4" borderId="0" xfId="0" applyFont="1" applyFill="1" applyAlignment="1">
      <alignment horizontal="center" vertical="center"/>
    </xf>
    <xf numFmtId="0" fontId="15" fillId="8" borderId="0" xfId="0" applyFont="1" applyFill="1" applyAlignment="1">
      <alignment horizontal="center" vertical="center"/>
    </xf>
    <xf numFmtId="0" fontId="0" fillId="6" borderId="0" xfId="0" applyFill="1" applyAlignment="1">
      <alignment horizontal="center" vertical="center"/>
    </xf>
    <xf numFmtId="0" fontId="7" fillId="5" borderId="0" xfId="0" applyFont="1" applyFill="1" applyAlignment="1">
      <alignment horizontal="center" vertical="center"/>
    </xf>
    <xf numFmtId="0" fontId="11" fillId="3" borderId="8" xfId="0" applyFont="1" applyFill="1" applyBorder="1" applyAlignment="1">
      <alignment horizontal="center" vertical="center"/>
    </xf>
    <xf numFmtId="0" fontId="13" fillId="7" borderId="3" xfId="0" applyFont="1" applyFill="1" applyBorder="1" applyAlignment="1">
      <alignment horizontal="center" vertical="center"/>
    </xf>
    <xf numFmtId="0" fontId="13" fillId="7" borderId="4" xfId="0" applyFont="1" applyFill="1" applyBorder="1" applyAlignment="1">
      <alignment horizontal="center" vertical="center"/>
    </xf>
    <xf numFmtId="0" fontId="13" fillId="7" borderId="5" xfId="0" applyFont="1" applyFill="1" applyBorder="1" applyAlignment="1">
      <alignment horizontal="center" vertical="center"/>
    </xf>
    <xf numFmtId="0" fontId="13" fillId="7" borderId="2" xfId="0" applyFont="1" applyFill="1" applyBorder="1" applyAlignment="1">
      <alignment horizontal="center" vertical="center"/>
    </xf>
    <xf numFmtId="0" fontId="13" fillId="7" borderId="0" xfId="0" applyFont="1" applyFill="1" applyBorder="1" applyAlignment="1">
      <alignment horizontal="center" vertical="center"/>
    </xf>
    <xf numFmtId="0" fontId="13" fillId="7" borderId="6" xfId="0" applyFont="1" applyFill="1" applyBorder="1" applyAlignment="1">
      <alignment horizontal="center" vertical="center"/>
    </xf>
    <xf numFmtId="0" fontId="13" fillId="7" borderId="7" xfId="0" applyFont="1" applyFill="1" applyBorder="1" applyAlignment="1">
      <alignment horizontal="center" vertical="center"/>
    </xf>
    <xf numFmtId="0" fontId="13" fillId="7" borderId="8" xfId="0" applyFont="1" applyFill="1" applyBorder="1" applyAlignment="1">
      <alignment horizontal="center" vertical="center"/>
    </xf>
    <xf numFmtId="0" fontId="13" fillId="7" borderId="9" xfId="0" applyFont="1" applyFill="1" applyBorder="1" applyAlignment="1">
      <alignment horizontal="center" vertical="center"/>
    </xf>
    <xf numFmtId="0" fontId="14" fillId="7" borderId="3" xfId="0" applyFont="1" applyFill="1" applyBorder="1" applyAlignment="1">
      <alignment horizontal="center" vertical="center"/>
    </xf>
    <xf numFmtId="0" fontId="14" fillId="7" borderId="4" xfId="0" applyFont="1" applyFill="1" applyBorder="1" applyAlignment="1">
      <alignment horizontal="center" vertical="center"/>
    </xf>
    <xf numFmtId="0" fontId="14" fillId="7" borderId="5" xfId="0" applyFont="1" applyFill="1" applyBorder="1" applyAlignment="1">
      <alignment horizontal="center" vertical="center"/>
    </xf>
    <xf numFmtId="0" fontId="14" fillId="7" borderId="2" xfId="0" applyFont="1" applyFill="1" applyBorder="1" applyAlignment="1">
      <alignment horizontal="center" vertical="center"/>
    </xf>
    <xf numFmtId="0" fontId="14" fillId="7" borderId="0" xfId="0" applyFont="1" applyFill="1" applyBorder="1" applyAlignment="1">
      <alignment horizontal="center" vertical="center"/>
    </xf>
    <xf numFmtId="0" fontId="14" fillId="7" borderId="6" xfId="0" applyFont="1" applyFill="1" applyBorder="1" applyAlignment="1">
      <alignment horizontal="center" vertical="center"/>
    </xf>
    <xf numFmtId="0" fontId="14" fillId="7" borderId="7" xfId="0" applyFont="1" applyFill="1" applyBorder="1" applyAlignment="1">
      <alignment horizontal="center" vertical="center"/>
    </xf>
    <xf numFmtId="0" fontId="14" fillId="7" borderId="8" xfId="0" applyFont="1" applyFill="1" applyBorder="1" applyAlignment="1">
      <alignment horizontal="center" vertical="center"/>
    </xf>
    <xf numFmtId="0" fontId="14" fillId="7" borderId="9" xfId="0" applyFont="1" applyFill="1" applyBorder="1" applyAlignment="1">
      <alignment horizontal="center" vertical="center"/>
    </xf>
    <xf numFmtId="0" fontId="8" fillId="7" borderId="3" xfId="0" applyFont="1" applyFill="1" applyBorder="1" applyAlignment="1">
      <alignment horizontal="center" vertical="center"/>
    </xf>
    <xf numFmtId="0" fontId="8" fillId="7" borderId="4" xfId="0" applyFont="1" applyFill="1" applyBorder="1" applyAlignment="1">
      <alignment horizontal="center" vertical="center"/>
    </xf>
    <xf numFmtId="0" fontId="8" fillId="7" borderId="5" xfId="0" applyFont="1" applyFill="1" applyBorder="1" applyAlignment="1">
      <alignment horizontal="center" vertical="center"/>
    </xf>
    <xf numFmtId="0" fontId="8" fillId="7" borderId="2" xfId="0" applyFont="1" applyFill="1" applyBorder="1" applyAlignment="1">
      <alignment horizontal="center" vertical="center"/>
    </xf>
    <xf numFmtId="0" fontId="8" fillId="7" borderId="0" xfId="0" applyFont="1" applyFill="1" applyBorder="1" applyAlignment="1">
      <alignment horizontal="center" vertical="center"/>
    </xf>
    <xf numFmtId="0" fontId="8" fillId="7" borderId="6" xfId="0" applyFont="1" applyFill="1" applyBorder="1" applyAlignment="1">
      <alignment horizontal="center" vertical="center"/>
    </xf>
    <xf numFmtId="0" fontId="8" fillId="7" borderId="7" xfId="0" applyFont="1" applyFill="1" applyBorder="1" applyAlignment="1">
      <alignment horizontal="center" vertical="center"/>
    </xf>
    <xf numFmtId="0" fontId="8" fillId="7" borderId="8" xfId="0" applyFont="1" applyFill="1" applyBorder="1" applyAlignment="1">
      <alignment horizontal="center" vertical="center"/>
    </xf>
    <xf numFmtId="0" fontId="8" fillId="7" borderId="9" xfId="0" applyFont="1" applyFill="1" applyBorder="1" applyAlignment="1">
      <alignment horizontal="center" vertical="center"/>
    </xf>
    <xf numFmtId="0" fontId="9" fillId="3" borderId="8" xfId="0" applyFont="1" applyFill="1" applyBorder="1" applyAlignment="1">
      <alignment horizontal="center" vertical="center"/>
    </xf>
    <xf numFmtId="0" fontId="10" fillId="7" borderId="3" xfId="0" applyFont="1" applyFill="1" applyBorder="1" applyAlignment="1">
      <alignment horizontal="center" vertical="center"/>
    </xf>
    <xf numFmtId="0" fontId="10" fillId="7" borderId="4" xfId="0" applyFont="1" applyFill="1" applyBorder="1" applyAlignment="1">
      <alignment horizontal="center" vertical="center"/>
    </xf>
    <xf numFmtId="0" fontId="10" fillId="7" borderId="5" xfId="0" applyFont="1" applyFill="1" applyBorder="1" applyAlignment="1">
      <alignment horizontal="center" vertical="center"/>
    </xf>
    <xf numFmtId="0" fontId="10" fillId="7" borderId="2" xfId="0" applyFont="1" applyFill="1" applyBorder="1" applyAlignment="1">
      <alignment horizontal="center" vertical="center"/>
    </xf>
    <xf numFmtId="0" fontId="10" fillId="7" borderId="0" xfId="0" applyFont="1" applyFill="1" applyBorder="1" applyAlignment="1">
      <alignment horizontal="center" vertical="center"/>
    </xf>
    <xf numFmtId="0" fontId="10" fillId="7" borderId="6" xfId="0" applyFont="1" applyFill="1" applyBorder="1" applyAlignment="1">
      <alignment horizontal="center" vertical="center"/>
    </xf>
    <xf numFmtId="0" fontId="10" fillId="7" borderId="7" xfId="0" applyFont="1" applyFill="1" applyBorder="1" applyAlignment="1">
      <alignment horizontal="center" vertical="center"/>
    </xf>
    <xf numFmtId="0" fontId="10" fillId="7" borderId="8" xfId="0" applyFont="1" applyFill="1" applyBorder="1" applyAlignment="1">
      <alignment horizontal="center" vertical="center"/>
    </xf>
    <xf numFmtId="0" fontId="10" fillId="7" borderId="9" xfId="0" applyFont="1" applyFill="1" applyBorder="1" applyAlignment="1">
      <alignment horizontal="center" vertical="center"/>
    </xf>
    <xf numFmtId="0" fontId="12" fillId="7" borderId="3" xfId="0" applyFont="1" applyFill="1" applyBorder="1" applyAlignment="1">
      <alignment horizontal="center" vertical="center"/>
    </xf>
    <xf numFmtId="0" fontId="12" fillId="7" borderId="4" xfId="0" applyFont="1" applyFill="1" applyBorder="1" applyAlignment="1">
      <alignment horizontal="center" vertical="center"/>
    </xf>
    <xf numFmtId="0" fontId="12" fillId="7" borderId="5" xfId="0" applyFont="1" applyFill="1" applyBorder="1" applyAlignment="1">
      <alignment horizontal="center" vertical="center"/>
    </xf>
    <xf numFmtId="0" fontId="12" fillId="7" borderId="2" xfId="0" applyFont="1" applyFill="1" applyBorder="1" applyAlignment="1">
      <alignment horizontal="center" vertical="center"/>
    </xf>
    <xf numFmtId="0" fontId="12" fillId="7" borderId="0" xfId="0" applyFont="1" applyFill="1" applyBorder="1" applyAlignment="1">
      <alignment horizontal="center" vertical="center"/>
    </xf>
    <xf numFmtId="0" fontId="12" fillId="7" borderId="6" xfId="0" applyFont="1" applyFill="1" applyBorder="1" applyAlignment="1">
      <alignment horizontal="center" vertical="center"/>
    </xf>
    <xf numFmtId="0" fontId="12" fillId="7" borderId="7" xfId="0" applyFont="1" applyFill="1" applyBorder="1" applyAlignment="1">
      <alignment horizontal="center" vertical="center"/>
    </xf>
    <xf numFmtId="0" fontId="12" fillId="7" borderId="8" xfId="0" applyFont="1" applyFill="1" applyBorder="1" applyAlignment="1">
      <alignment horizontal="center" vertical="center"/>
    </xf>
    <xf numFmtId="0" fontId="12" fillId="7" borderId="9" xfId="0" applyFont="1" applyFill="1" applyBorder="1" applyAlignment="1">
      <alignment horizontal="center" vertical="center"/>
    </xf>
  </cellXfs>
  <cellStyles count="1">
    <cellStyle name="Normal" xfId="0" builtinId="0"/>
  </cellStyles>
  <dxfs count="23">
    <dxf>
      <numFmt numFmtId="165" formatCode="&quot;₹&quot;\ #,##0"/>
    </dxf>
    <dxf>
      <font>
        <b val="0"/>
        <i val="0"/>
        <strike val="0"/>
        <condense val="0"/>
        <extend val="0"/>
        <outline val="0"/>
        <shadow val="0"/>
        <u val="none"/>
        <vertAlign val="baseline"/>
        <sz val="10"/>
        <color theme="1"/>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 formatCode="0"/>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 formatCode="0"/>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3" formatCode="#,##0"/>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6" formatCode="0.0%"/>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5" formatCode="&quot;₹&quot;\ #,##0"/>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0.0"/>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9" formatCode="dd/mm/yyyy"/>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fill>
        <patternFill patternType="none">
          <fgColor indexed="64"/>
          <bgColor indexed="65"/>
        </patternFill>
      </fill>
      <alignment horizontal="general" vertical="bottom" textRotation="0" wrapText="0" indent="0" justifyLastLine="0" shrinkToFit="0" readingOrder="0"/>
    </dxf>
    <dxf>
      <border>
        <bottom style="thin">
          <color indexed="64"/>
        </bottom>
      </border>
    </dxf>
    <dxf>
      <font>
        <b/>
        <i val="0"/>
        <strike val="0"/>
        <condense val="0"/>
        <extend val="0"/>
        <outline val="0"/>
        <shadow val="0"/>
        <u val="none"/>
        <vertAlign val="baseline"/>
        <sz val="11"/>
        <color theme="1"/>
        <name val="Arial"/>
        <family val="2"/>
        <scheme val="none"/>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9" defaultPivotStyle="PivotStyleLight16"/>
  <colors>
    <mruColors>
      <color rgb="FF808080"/>
      <color rgb="FFFFD700"/>
      <color rgb="FF014D4E"/>
      <color rgb="FF2E75B6"/>
      <color rgb="FF1F4E79"/>
      <color rgb="FFF2F2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[HR_Employee_Dataset.xlsx]PIVOT_TABLES!PivotTable1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Headcount by Department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solidFill>
              <a:srgbClr val="1F4E79"/>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PIVOT_TABLES!$C$2</c:f>
              <c:strCache>
                <c:ptCount val="1"/>
                <c:pt idx="0">
                  <c:v>Total</c:v>
                </c:pt>
              </c:strCache>
            </c:strRef>
          </c:tx>
          <c:spPr>
            <a:solidFill>
              <a:schemeClr val="accent1"/>
            </a:solidFill>
            <a:ln>
              <a:solidFill>
                <a:srgbClr val="1F4E79"/>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PIVOT_TABLES!$B$3:$B$10</c:f>
              <c:strCache>
                <c:ptCount val="7"/>
                <c:pt idx="0">
                  <c:v>Finance</c:v>
                </c:pt>
                <c:pt idx="1">
                  <c:v>HR</c:v>
                </c:pt>
                <c:pt idx="2">
                  <c:v>IT</c:v>
                </c:pt>
                <c:pt idx="3">
                  <c:v>Legal</c:v>
                </c:pt>
                <c:pt idx="4">
                  <c:v>Marketing</c:v>
                </c:pt>
                <c:pt idx="5">
                  <c:v>Operations</c:v>
                </c:pt>
                <c:pt idx="6">
                  <c:v>Sales</c:v>
                </c:pt>
              </c:strCache>
            </c:strRef>
          </c:cat>
          <c:val>
            <c:numRef>
              <c:f>PIVOT_TABLES!$C$3:$C$10</c:f>
              <c:numCache>
                <c:formatCode>#,##0</c:formatCode>
                <c:ptCount val="7"/>
                <c:pt idx="0">
                  <c:v>42</c:v>
                </c:pt>
                <c:pt idx="1">
                  <c:v>46</c:v>
                </c:pt>
                <c:pt idx="2">
                  <c:v>42</c:v>
                </c:pt>
                <c:pt idx="3">
                  <c:v>25</c:v>
                </c:pt>
                <c:pt idx="4">
                  <c:v>37</c:v>
                </c:pt>
                <c:pt idx="5">
                  <c:v>55</c:v>
                </c:pt>
                <c:pt idx="6">
                  <c:v>75</c:v>
                </c:pt>
              </c:numCache>
            </c:numRef>
          </c:val>
          <c:extLst>
            <c:ext xmlns:c16="http://schemas.microsoft.com/office/drawing/2014/chart" uri="{C3380CC4-5D6E-409C-BE32-E72D297353CC}">
              <c16:uniqueId val="{00000000-E8EB-4304-87B5-6A917CD6E605}"/>
            </c:ext>
          </c:extLst>
        </c:ser>
        <c:dLbls>
          <c:dLblPos val="outEnd"/>
          <c:showLegendKey val="0"/>
          <c:showVal val="1"/>
          <c:showCatName val="0"/>
          <c:showSerName val="0"/>
          <c:showPercent val="0"/>
          <c:showBubbleSize val="0"/>
        </c:dLbls>
        <c:gapWidth val="182"/>
        <c:axId val="1235032304"/>
        <c:axId val="1235032720"/>
      </c:barChart>
      <c:catAx>
        <c:axId val="12350323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5032720"/>
        <c:crosses val="autoZero"/>
        <c:auto val="1"/>
        <c:lblAlgn val="ctr"/>
        <c:lblOffset val="100"/>
        <c:noMultiLvlLbl val="0"/>
      </c:catAx>
      <c:valAx>
        <c:axId val="1235032720"/>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50323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[HR_Employee_Dataset.xlsx]PIVOT_TABLES!PivotTable2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Attrition Rate by Department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0"/>
          <c:tx>
            <c:strRef>
              <c:f>PIVOT_TABLES!$F$2:$F$3</c:f>
              <c:strCache>
                <c:ptCount val="1"/>
                <c:pt idx="0">
                  <c:v>No</c:v>
                </c:pt>
              </c:strCache>
            </c:strRef>
          </c:tx>
          <c:spPr>
            <a:solidFill>
              <a:schemeClr val="accent2"/>
            </a:solidFill>
            <a:ln>
              <a:noFill/>
            </a:ln>
            <a:effectLst/>
          </c:spPr>
          <c:invertIfNegative val="0"/>
          <c:cat>
            <c:strRef>
              <c:f>PIVOT_TABLES!$E$4:$E$11</c:f>
              <c:strCache>
                <c:ptCount val="7"/>
                <c:pt idx="0">
                  <c:v>Finance</c:v>
                </c:pt>
                <c:pt idx="1">
                  <c:v>HR</c:v>
                </c:pt>
                <c:pt idx="2">
                  <c:v>IT</c:v>
                </c:pt>
                <c:pt idx="3">
                  <c:v>Legal</c:v>
                </c:pt>
                <c:pt idx="4">
                  <c:v>Marketing</c:v>
                </c:pt>
                <c:pt idx="5">
                  <c:v>Operations</c:v>
                </c:pt>
                <c:pt idx="6">
                  <c:v>Sales</c:v>
                </c:pt>
              </c:strCache>
            </c:strRef>
          </c:cat>
          <c:val>
            <c:numRef>
              <c:f>PIVOT_TABLES!$F$4:$F$11</c:f>
              <c:numCache>
                <c:formatCode>#,##0</c:formatCode>
                <c:ptCount val="7"/>
                <c:pt idx="0">
                  <c:v>26</c:v>
                </c:pt>
                <c:pt idx="1">
                  <c:v>29</c:v>
                </c:pt>
                <c:pt idx="2">
                  <c:v>30</c:v>
                </c:pt>
                <c:pt idx="3">
                  <c:v>20</c:v>
                </c:pt>
                <c:pt idx="4">
                  <c:v>28</c:v>
                </c:pt>
                <c:pt idx="5">
                  <c:v>41</c:v>
                </c:pt>
                <c:pt idx="6">
                  <c:v>48</c:v>
                </c:pt>
              </c:numCache>
            </c:numRef>
          </c:val>
          <c:extLst>
            <c:ext xmlns:c16="http://schemas.microsoft.com/office/drawing/2014/chart" uri="{C3380CC4-5D6E-409C-BE32-E72D297353CC}">
              <c16:uniqueId val="{00000001-247C-4857-94B7-10402E0E9447}"/>
            </c:ext>
          </c:extLst>
        </c:ser>
        <c:ser>
          <c:idx val="0"/>
          <c:order val="1"/>
          <c:tx>
            <c:strRef>
              <c:f>PIVOT_TABLES!$G$2:$G$3</c:f>
              <c:strCache>
                <c:ptCount val="1"/>
                <c:pt idx="0">
                  <c:v>Yes</c:v>
                </c:pt>
              </c:strCache>
            </c:strRef>
          </c:tx>
          <c:spPr>
            <a:solidFill>
              <a:schemeClr val="accent1"/>
            </a:solidFill>
            <a:ln>
              <a:noFill/>
            </a:ln>
            <a:effectLst/>
          </c:spPr>
          <c:invertIfNegative val="0"/>
          <c:cat>
            <c:strRef>
              <c:f>PIVOT_TABLES!$E$4:$E$11</c:f>
              <c:strCache>
                <c:ptCount val="7"/>
                <c:pt idx="0">
                  <c:v>Finance</c:v>
                </c:pt>
                <c:pt idx="1">
                  <c:v>HR</c:v>
                </c:pt>
                <c:pt idx="2">
                  <c:v>IT</c:v>
                </c:pt>
                <c:pt idx="3">
                  <c:v>Legal</c:v>
                </c:pt>
                <c:pt idx="4">
                  <c:v>Marketing</c:v>
                </c:pt>
                <c:pt idx="5">
                  <c:v>Operations</c:v>
                </c:pt>
                <c:pt idx="6">
                  <c:v>Sales</c:v>
                </c:pt>
              </c:strCache>
            </c:strRef>
          </c:cat>
          <c:val>
            <c:numRef>
              <c:f>PIVOT_TABLES!$G$4:$G$11</c:f>
              <c:numCache>
                <c:formatCode>#,##0</c:formatCode>
                <c:ptCount val="7"/>
                <c:pt idx="0">
                  <c:v>16</c:v>
                </c:pt>
                <c:pt idx="1">
                  <c:v>17</c:v>
                </c:pt>
                <c:pt idx="2">
                  <c:v>12</c:v>
                </c:pt>
                <c:pt idx="3">
                  <c:v>5</c:v>
                </c:pt>
                <c:pt idx="4">
                  <c:v>9</c:v>
                </c:pt>
                <c:pt idx="5">
                  <c:v>14</c:v>
                </c:pt>
                <c:pt idx="6">
                  <c:v>27</c:v>
                </c:pt>
              </c:numCache>
            </c:numRef>
          </c:val>
          <c:extLst>
            <c:ext xmlns:c16="http://schemas.microsoft.com/office/drawing/2014/chart" uri="{C3380CC4-5D6E-409C-BE32-E72D297353CC}">
              <c16:uniqueId val="{00000003-247C-4857-94B7-10402E0E9447}"/>
            </c:ext>
          </c:extLst>
        </c:ser>
        <c:dLbls>
          <c:showLegendKey val="0"/>
          <c:showVal val="0"/>
          <c:showCatName val="0"/>
          <c:showSerName val="0"/>
          <c:showPercent val="0"/>
          <c:showBubbleSize val="0"/>
        </c:dLbls>
        <c:gapWidth val="219"/>
        <c:overlap val="-27"/>
        <c:axId val="822495120"/>
        <c:axId val="822498032"/>
      </c:barChart>
      <c:catAx>
        <c:axId val="822495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2498032"/>
        <c:crosses val="autoZero"/>
        <c:auto val="1"/>
        <c:lblAlgn val="ctr"/>
        <c:lblOffset val="100"/>
        <c:noMultiLvlLbl val="0"/>
      </c:catAx>
      <c:valAx>
        <c:axId val="82249803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2495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[HR_Employee_Dataset.xlsx]PIVOT_TABLES!PivotTable3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Performance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PIVOT_TABLES!$K$2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B20-42DC-AD1E-6076FC34D30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B20-42DC-AD1E-6076FC34D30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B20-42DC-AD1E-6076FC34D30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B20-42DC-AD1E-6076FC34D30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B20-42DC-AD1E-6076FC34D30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PIVOT_TABLES!$J$3:$J$8</c:f>
              <c:strCache>
                <c:ptCount val="5"/>
                <c:pt idx="0">
                  <c:v>Average</c:v>
                </c:pt>
                <c:pt idx="1">
                  <c:v>Below Average</c:v>
                </c:pt>
                <c:pt idx="2">
                  <c:v>Excellent</c:v>
                </c:pt>
                <c:pt idx="3">
                  <c:v>Good</c:v>
                </c:pt>
                <c:pt idx="4">
                  <c:v>Poor</c:v>
                </c:pt>
              </c:strCache>
            </c:strRef>
          </c:cat>
          <c:val>
            <c:numRef>
              <c:f>PIVOT_TABLES!$K$3:$K$8</c:f>
              <c:numCache>
                <c:formatCode>#,##0</c:formatCode>
                <c:ptCount val="5"/>
                <c:pt idx="0">
                  <c:v>103</c:v>
                </c:pt>
                <c:pt idx="1">
                  <c:v>30</c:v>
                </c:pt>
                <c:pt idx="2">
                  <c:v>73</c:v>
                </c:pt>
                <c:pt idx="3">
                  <c:v>88</c:v>
                </c:pt>
                <c:pt idx="4">
                  <c:v>28</c:v>
                </c:pt>
              </c:numCache>
            </c:numRef>
          </c:val>
          <c:extLst>
            <c:ext xmlns:c16="http://schemas.microsoft.com/office/drawing/2014/chart" uri="{C3380CC4-5D6E-409C-BE32-E72D297353CC}">
              <c16:uniqueId val="{0000000A-1B20-42DC-AD1E-6076FC34D302}"/>
            </c:ext>
          </c:extLst>
        </c:ser>
        <c:dLbls>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[HR_Employee_Dataset.xlsx]PIVOT_TABLES!PivotTable4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Gender Diversity by Location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PIVOT_TABLES!$N$2:$N$3</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PIVOT_TABLES!$M$4:$M$10</c:f>
              <c:strCache>
                <c:ptCount val="6"/>
                <c:pt idx="0">
                  <c:v>Bangalore</c:v>
                </c:pt>
                <c:pt idx="1">
                  <c:v>Chennai</c:v>
                </c:pt>
                <c:pt idx="2">
                  <c:v>Delhi</c:v>
                </c:pt>
                <c:pt idx="3">
                  <c:v>Hyderabad</c:v>
                </c:pt>
                <c:pt idx="4">
                  <c:v>Mumbai</c:v>
                </c:pt>
                <c:pt idx="5">
                  <c:v>Pune</c:v>
                </c:pt>
              </c:strCache>
            </c:strRef>
          </c:cat>
          <c:val>
            <c:numRef>
              <c:f>PIVOT_TABLES!$N$4:$N$10</c:f>
              <c:numCache>
                <c:formatCode>#,##0</c:formatCode>
                <c:ptCount val="6"/>
                <c:pt idx="0">
                  <c:v>48</c:v>
                </c:pt>
                <c:pt idx="1">
                  <c:v>14</c:v>
                </c:pt>
                <c:pt idx="2">
                  <c:v>30</c:v>
                </c:pt>
                <c:pt idx="3">
                  <c:v>21</c:v>
                </c:pt>
                <c:pt idx="4">
                  <c:v>38</c:v>
                </c:pt>
                <c:pt idx="5">
                  <c:v>20</c:v>
                </c:pt>
              </c:numCache>
            </c:numRef>
          </c:val>
          <c:extLst>
            <c:ext xmlns:c16="http://schemas.microsoft.com/office/drawing/2014/chart" uri="{C3380CC4-5D6E-409C-BE32-E72D297353CC}">
              <c16:uniqueId val="{00000000-6E09-4815-937F-5DF392E6A0D3}"/>
            </c:ext>
          </c:extLst>
        </c:ser>
        <c:ser>
          <c:idx val="1"/>
          <c:order val="1"/>
          <c:tx>
            <c:strRef>
              <c:f>PIVOT_TABLES!$O$2:$O$3</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PIVOT_TABLES!$M$4:$M$10</c:f>
              <c:strCache>
                <c:ptCount val="6"/>
                <c:pt idx="0">
                  <c:v>Bangalore</c:v>
                </c:pt>
                <c:pt idx="1">
                  <c:v>Chennai</c:v>
                </c:pt>
                <c:pt idx="2">
                  <c:v>Delhi</c:v>
                </c:pt>
                <c:pt idx="3">
                  <c:v>Hyderabad</c:v>
                </c:pt>
                <c:pt idx="4">
                  <c:v>Mumbai</c:v>
                </c:pt>
                <c:pt idx="5">
                  <c:v>Pune</c:v>
                </c:pt>
              </c:strCache>
            </c:strRef>
          </c:cat>
          <c:val>
            <c:numRef>
              <c:f>PIVOT_TABLES!$O$4:$O$10</c:f>
              <c:numCache>
                <c:formatCode>#,##0</c:formatCode>
                <c:ptCount val="6"/>
                <c:pt idx="0">
                  <c:v>35</c:v>
                </c:pt>
                <c:pt idx="1">
                  <c:v>13</c:v>
                </c:pt>
                <c:pt idx="2">
                  <c:v>24</c:v>
                </c:pt>
                <c:pt idx="3">
                  <c:v>19</c:v>
                </c:pt>
                <c:pt idx="4">
                  <c:v>35</c:v>
                </c:pt>
                <c:pt idx="5">
                  <c:v>25</c:v>
                </c:pt>
              </c:numCache>
            </c:numRef>
          </c:val>
          <c:extLst>
            <c:ext xmlns:c16="http://schemas.microsoft.com/office/drawing/2014/chart" uri="{C3380CC4-5D6E-409C-BE32-E72D297353CC}">
              <c16:uniqueId val="{00000001-6E09-4815-937F-5DF392E6A0D3}"/>
            </c:ext>
          </c:extLst>
        </c:ser>
        <c:dLbls>
          <c:dLblPos val="ctr"/>
          <c:showLegendKey val="0"/>
          <c:showVal val="1"/>
          <c:showCatName val="0"/>
          <c:showSerName val="0"/>
          <c:showPercent val="0"/>
          <c:showBubbleSize val="0"/>
        </c:dLbls>
        <c:gapWidth val="150"/>
        <c:overlap val="100"/>
        <c:axId val="1015113920"/>
        <c:axId val="1015111424"/>
      </c:barChart>
      <c:catAx>
        <c:axId val="10151139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5111424"/>
        <c:crosses val="autoZero"/>
        <c:auto val="1"/>
        <c:lblAlgn val="ctr"/>
        <c:lblOffset val="100"/>
        <c:noMultiLvlLbl val="0"/>
      </c:catAx>
      <c:valAx>
        <c:axId val="101511142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5113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[HR_Employee_Dataset.xlsx]PIVOT_TABLES!PivotTable5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Salary Distribution by Experience Level</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PIVOT_TABLES!$S$2:$S$3</c:f>
              <c:strCache>
                <c:ptCount val="1"/>
                <c:pt idx="0">
                  <c:v>Band 1: &lt;5L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PIVOT_TABLES!$R$4:$R$8</c:f>
              <c:strCache>
                <c:ptCount val="4"/>
                <c:pt idx="0">
                  <c:v>Expert (10+ yrs)</c:v>
                </c:pt>
                <c:pt idx="1">
                  <c:v>Junior (0-2 yrs)</c:v>
                </c:pt>
                <c:pt idx="2">
                  <c:v>Mid-Level (2-5 yrs)</c:v>
                </c:pt>
                <c:pt idx="3">
                  <c:v>Senior (5-10 yrs)</c:v>
                </c:pt>
              </c:strCache>
            </c:strRef>
          </c:cat>
          <c:val>
            <c:numRef>
              <c:f>PIVOT_TABLES!$S$4:$S$8</c:f>
              <c:numCache>
                <c:formatCode>#,##0</c:formatCode>
                <c:ptCount val="4"/>
                <c:pt idx="0">
                  <c:v>21</c:v>
                </c:pt>
                <c:pt idx="2">
                  <c:v>1</c:v>
                </c:pt>
                <c:pt idx="3">
                  <c:v>6</c:v>
                </c:pt>
              </c:numCache>
            </c:numRef>
          </c:val>
          <c:extLst>
            <c:ext xmlns:c16="http://schemas.microsoft.com/office/drawing/2014/chart" uri="{C3380CC4-5D6E-409C-BE32-E72D297353CC}">
              <c16:uniqueId val="{00000000-C72D-4DC5-BCF4-53D8F34E9D1C}"/>
            </c:ext>
          </c:extLst>
        </c:ser>
        <c:ser>
          <c:idx val="1"/>
          <c:order val="1"/>
          <c:tx>
            <c:strRef>
              <c:f>PIVOT_TABLES!$T$2:$T$3</c:f>
              <c:strCache>
                <c:ptCount val="1"/>
                <c:pt idx="0">
                  <c:v>Band 2: 5-10L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PIVOT_TABLES!$R$4:$R$8</c:f>
              <c:strCache>
                <c:ptCount val="4"/>
                <c:pt idx="0">
                  <c:v>Expert (10+ yrs)</c:v>
                </c:pt>
                <c:pt idx="1">
                  <c:v>Junior (0-2 yrs)</c:v>
                </c:pt>
                <c:pt idx="2">
                  <c:v>Mid-Level (2-5 yrs)</c:v>
                </c:pt>
                <c:pt idx="3">
                  <c:v>Senior (5-10 yrs)</c:v>
                </c:pt>
              </c:strCache>
            </c:strRef>
          </c:cat>
          <c:val>
            <c:numRef>
              <c:f>PIVOT_TABLES!$T$4:$T$8</c:f>
              <c:numCache>
                <c:formatCode>#,##0</c:formatCode>
                <c:ptCount val="4"/>
                <c:pt idx="0">
                  <c:v>51</c:v>
                </c:pt>
                <c:pt idx="1">
                  <c:v>1</c:v>
                </c:pt>
                <c:pt idx="2">
                  <c:v>7</c:v>
                </c:pt>
                <c:pt idx="3">
                  <c:v>17</c:v>
                </c:pt>
              </c:numCache>
            </c:numRef>
          </c:val>
          <c:extLst>
            <c:ext xmlns:c16="http://schemas.microsoft.com/office/drawing/2014/chart" uri="{C3380CC4-5D6E-409C-BE32-E72D297353CC}">
              <c16:uniqueId val="{00000001-C72D-4DC5-BCF4-53D8F34E9D1C}"/>
            </c:ext>
          </c:extLst>
        </c:ser>
        <c:ser>
          <c:idx val="2"/>
          <c:order val="2"/>
          <c:tx>
            <c:strRef>
              <c:f>PIVOT_TABLES!$U$2:$U$3</c:f>
              <c:strCache>
                <c:ptCount val="1"/>
                <c:pt idx="0">
                  <c:v>Band 3: 10-15L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PIVOT_TABLES!$R$4:$R$8</c:f>
              <c:strCache>
                <c:ptCount val="4"/>
                <c:pt idx="0">
                  <c:v>Expert (10+ yrs)</c:v>
                </c:pt>
                <c:pt idx="1">
                  <c:v>Junior (0-2 yrs)</c:v>
                </c:pt>
                <c:pt idx="2">
                  <c:v>Mid-Level (2-5 yrs)</c:v>
                </c:pt>
                <c:pt idx="3">
                  <c:v>Senior (5-10 yrs)</c:v>
                </c:pt>
              </c:strCache>
            </c:strRef>
          </c:cat>
          <c:val>
            <c:numRef>
              <c:f>PIVOT_TABLES!$U$4:$U$8</c:f>
              <c:numCache>
                <c:formatCode>#,##0</c:formatCode>
                <c:ptCount val="4"/>
                <c:pt idx="0">
                  <c:v>49</c:v>
                </c:pt>
                <c:pt idx="1">
                  <c:v>5</c:v>
                </c:pt>
                <c:pt idx="2">
                  <c:v>6</c:v>
                </c:pt>
                <c:pt idx="3">
                  <c:v>12</c:v>
                </c:pt>
              </c:numCache>
            </c:numRef>
          </c:val>
          <c:extLst>
            <c:ext xmlns:c16="http://schemas.microsoft.com/office/drawing/2014/chart" uri="{C3380CC4-5D6E-409C-BE32-E72D297353CC}">
              <c16:uniqueId val="{00000002-C72D-4DC5-BCF4-53D8F34E9D1C}"/>
            </c:ext>
          </c:extLst>
        </c:ser>
        <c:ser>
          <c:idx val="3"/>
          <c:order val="3"/>
          <c:tx>
            <c:strRef>
              <c:f>PIVOT_TABLES!$V$2:$V$3</c:f>
              <c:strCache>
                <c:ptCount val="1"/>
                <c:pt idx="0">
                  <c:v>Band 4: 15-20L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PIVOT_TABLES!$R$4:$R$8</c:f>
              <c:strCache>
                <c:ptCount val="4"/>
                <c:pt idx="0">
                  <c:v>Expert (10+ yrs)</c:v>
                </c:pt>
                <c:pt idx="1">
                  <c:v>Junior (0-2 yrs)</c:v>
                </c:pt>
                <c:pt idx="2">
                  <c:v>Mid-Level (2-5 yrs)</c:v>
                </c:pt>
                <c:pt idx="3">
                  <c:v>Senior (5-10 yrs)</c:v>
                </c:pt>
              </c:strCache>
            </c:strRef>
          </c:cat>
          <c:val>
            <c:numRef>
              <c:f>PIVOT_TABLES!$V$4:$V$8</c:f>
              <c:numCache>
                <c:formatCode>#,##0</c:formatCode>
                <c:ptCount val="4"/>
                <c:pt idx="0">
                  <c:v>50</c:v>
                </c:pt>
                <c:pt idx="1">
                  <c:v>1</c:v>
                </c:pt>
                <c:pt idx="2">
                  <c:v>7</c:v>
                </c:pt>
                <c:pt idx="3">
                  <c:v>10</c:v>
                </c:pt>
              </c:numCache>
            </c:numRef>
          </c:val>
          <c:extLst>
            <c:ext xmlns:c16="http://schemas.microsoft.com/office/drawing/2014/chart" uri="{C3380CC4-5D6E-409C-BE32-E72D297353CC}">
              <c16:uniqueId val="{00000003-C72D-4DC5-BCF4-53D8F34E9D1C}"/>
            </c:ext>
          </c:extLst>
        </c:ser>
        <c:ser>
          <c:idx val="4"/>
          <c:order val="4"/>
          <c:tx>
            <c:strRef>
              <c:f>PIVOT_TABLES!$W$2:$W$3</c:f>
              <c:strCache>
                <c:ptCount val="1"/>
                <c:pt idx="0">
                  <c:v>Band 5: 20L+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PIVOT_TABLES!$R$4:$R$8</c:f>
              <c:strCache>
                <c:ptCount val="4"/>
                <c:pt idx="0">
                  <c:v>Expert (10+ yrs)</c:v>
                </c:pt>
                <c:pt idx="1">
                  <c:v>Junior (0-2 yrs)</c:v>
                </c:pt>
                <c:pt idx="2">
                  <c:v>Mid-Level (2-5 yrs)</c:v>
                </c:pt>
                <c:pt idx="3">
                  <c:v>Senior (5-10 yrs)</c:v>
                </c:pt>
              </c:strCache>
            </c:strRef>
          </c:cat>
          <c:val>
            <c:numRef>
              <c:f>PIVOT_TABLES!$W$4:$W$8</c:f>
              <c:numCache>
                <c:formatCode>#,##0</c:formatCode>
                <c:ptCount val="4"/>
                <c:pt idx="0">
                  <c:v>48</c:v>
                </c:pt>
                <c:pt idx="1">
                  <c:v>3</c:v>
                </c:pt>
                <c:pt idx="2">
                  <c:v>12</c:v>
                </c:pt>
                <c:pt idx="3">
                  <c:v>15</c:v>
                </c:pt>
              </c:numCache>
            </c:numRef>
          </c:val>
          <c:extLst>
            <c:ext xmlns:c16="http://schemas.microsoft.com/office/drawing/2014/chart" uri="{C3380CC4-5D6E-409C-BE32-E72D297353CC}">
              <c16:uniqueId val="{00000004-C72D-4DC5-BCF4-53D8F34E9D1C}"/>
            </c:ext>
          </c:extLst>
        </c:ser>
        <c:dLbls>
          <c:dLblPos val="outEnd"/>
          <c:showLegendKey val="0"/>
          <c:showVal val="1"/>
          <c:showCatName val="0"/>
          <c:showSerName val="0"/>
          <c:showPercent val="0"/>
          <c:showBubbleSize val="0"/>
        </c:dLbls>
        <c:gapWidth val="219"/>
        <c:overlap val="-27"/>
        <c:axId val="1267084144"/>
        <c:axId val="1267083312"/>
      </c:barChart>
      <c:catAx>
        <c:axId val="1267084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7083312"/>
        <c:crosses val="autoZero"/>
        <c:auto val="1"/>
        <c:lblAlgn val="ctr"/>
        <c:lblOffset val="100"/>
        <c:noMultiLvlLbl val="0"/>
      </c:catAx>
      <c:valAx>
        <c:axId val="126708331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7084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[HR_Employee_Dataset.xlsx]PIVOT_TABLES!PivotTable1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Headcount by Department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solidFill>
              <a:srgbClr val="1F4E79"/>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rgbClr val="1F4E79"/>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rgbClr val="1F4E79"/>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PIVOT_TABLES!$C$2</c:f>
              <c:strCache>
                <c:ptCount val="1"/>
                <c:pt idx="0">
                  <c:v>Total</c:v>
                </c:pt>
              </c:strCache>
            </c:strRef>
          </c:tx>
          <c:spPr>
            <a:solidFill>
              <a:schemeClr val="accent1"/>
            </a:solidFill>
            <a:ln>
              <a:solidFill>
                <a:srgbClr val="1F4E79"/>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PIVOT_TABLES!$B$3:$B$10</c:f>
              <c:strCache>
                <c:ptCount val="7"/>
                <c:pt idx="0">
                  <c:v>Finance</c:v>
                </c:pt>
                <c:pt idx="1">
                  <c:v>HR</c:v>
                </c:pt>
                <c:pt idx="2">
                  <c:v>IT</c:v>
                </c:pt>
                <c:pt idx="3">
                  <c:v>Legal</c:v>
                </c:pt>
                <c:pt idx="4">
                  <c:v>Marketing</c:v>
                </c:pt>
                <c:pt idx="5">
                  <c:v>Operations</c:v>
                </c:pt>
                <c:pt idx="6">
                  <c:v>Sales</c:v>
                </c:pt>
              </c:strCache>
            </c:strRef>
          </c:cat>
          <c:val>
            <c:numRef>
              <c:f>PIVOT_TABLES!$C$3:$C$10</c:f>
              <c:numCache>
                <c:formatCode>#,##0</c:formatCode>
                <c:ptCount val="7"/>
                <c:pt idx="0">
                  <c:v>42</c:v>
                </c:pt>
                <c:pt idx="1">
                  <c:v>46</c:v>
                </c:pt>
                <c:pt idx="2">
                  <c:v>42</c:v>
                </c:pt>
                <c:pt idx="3">
                  <c:v>25</c:v>
                </c:pt>
                <c:pt idx="4">
                  <c:v>37</c:v>
                </c:pt>
                <c:pt idx="5">
                  <c:v>55</c:v>
                </c:pt>
                <c:pt idx="6">
                  <c:v>75</c:v>
                </c:pt>
              </c:numCache>
            </c:numRef>
          </c:val>
          <c:extLst>
            <c:ext xmlns:c16="http://schemas.microsoft.com/office/drawing/2014/chart" uri="{C3380CC4-5D6E-409C-BE32-E72D297353CC}">
              <c16:uniqueId val="{00000000-A997-4924-B38A-DC1BA31EB1D4}"/>
            </c:ext>
          </c:extLst>
        </c:ser>
        <c:dLbls>
          <c:dLblPos val="outEnd"/>
          <c:showLegendKey val="0"/>
          <c:showVal val="1"/>
          <c:showCatName val="0"/>
          <c:showSerName val="0"/>
          <c:showPercent val="0"/>
          <c:showBubbleSize val="0"/>
        </c:dLbls>
        <c:gapWidth val="182"/>
        <c:axId val="1235032304"/>
        <c:axId val="1235032720"/>
      </c:barChart>
      <c:catAx>
        <c:axId val="12350323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5032720"/>
        <c:crosses val="autoZero"/>
        <c:auto val="1"/>
        <c:lblAlgn val="ctr"/>
        <c:lblOffset val="100"/>
        <c:noMultiLvlLbl val="0"/>
      </c:catAx>
      <c:valAx>
        <c:axId val="1235032720"/>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50323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[HR_Employee_Dataset.xlsx]PIVOT_TABLES!PivotTable2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Attrition Rate by Department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0"/>
          <c:tx>
            <c:strRef>
              <c:f>PIVOT_TABLES!$F$2:$F$3</c:f>
              <c:strCache>
                <c:ptCount val="1"/>
                <c:pt idx="0">
                  <c:v>No</c:v>
                </c:pt>
              </c:strCache>
            </c:strRef>
          </c:tx>
          <c:spPr>
            <a:solidFill>
              <a:schemeClr val="accent2"/>
            </a:solidFill>
            <a:ln>
              <a:noFill/>
            </a:ln>
            <a:effectLst/>
          </c:spPr>
          <c:invertIfNegative val="0"/>
          <c:cat>
            <c:strRef>
              <c:f>PIVOT_TABLES!$E$4:$E$11</c:f>
              <c:strCache>
                <c:ptCount val="7"/>
                <c:pt idx="0">
                  <c:v>Finance</c:v>
                </c:pt>
                <c:pt idx="1">
                  <c:v>HR</c:v>
                </c:pt>
                <c:pt idx="2">
                  <c:v>IT</c:v>
                </c:pt>
                <c:pt idx="3">
                  <c:v>Legal</c:v>
                </c:pt>
                <c:pt idx="4">
                  <c:v>Marketing</c:v>
                </c:pt>
                <c:pt idx="5">
                  <c:v>Operations</c:v>
                </c:pt>
                <c:pt idx="6">
                  <c:v>Sales</c:v>
                </c:pt>
              </c:strCache>
            </c:strRef>
          </c:cat>
          <c:val>
            <c:numRef>
              <c:f>PIVOT_TABLES!$F$4:$F$11</c:f>
              <c:numCache>
                <c:formatCode>#,##0</c:formatCode>
                <c:ptCount val="7"/>
                <c:pt idx="0">
                  <c:v>26</c:v>
                </c:pt>
                <c:pt idx="1">
                  <c:v>29</c:v>
                </c:pt>
                <c:pt idx="2">
                  <c:v>30</c:v>
                </c:pt>
                <c:pt idx="3">
                  <c:v>20</c:v>
                </c:pt>
                <c:pt idx="4">
                  <c:v>28</c:v>
                </c:pt>
                <c:pt idx="5">
                  <c:v>41</c:v>
                </c:pt>
                <c:pt idx="6">
                  <c:v>48</c:v>
                </c:pt>
              </c:numCache>
            </c:numRef>
          </c:val>
          <c:extLst>
            <c:ext xmlns:c16="http://schemas.microsoft.com/office/drawing/2014/chart" uri="{C3380CC4-5D6E-409C-BE32-E72D297353CC}">
              <c16:uniqueId val="{00000000-014A-4BE6-A065-454F1B62F01E}"/>
            </c:ext>
          </c:extLst>
        </c:ser>
        <c:ser>
          <c:idx val="0"/>
          <c:order val="1"/>
          <c:tx>
            <c:strRef>
              <c:f>PIVOT_TABLES!$G$2:$G$3</c:f>
              <c:strCache>
                <c:ptCount val="1"/>
                <c:pt idx="0">
                  <c:v>Yes</c:v>
                </c:pt>
              </c:strCache>
            </c:strRef>
          </c:tx>
          <c:spPr>
            <a:solidFill>
              <a:schemeClr val="accent1"/>
            </a:solidFill>
            <a:ln>
              <a:noFill/>
            </a:ln>
            <a:effectLst/>
          </c:spPr>
          <c:invertIfNegative val="0"/>
          <c:cat>
            <c:strRef>
              <c:f>PIVOT_TABLES!$E$4:$E$11</c:f>
              <c:strCache>
                <c:ptCount val="7"/>
                <c:pt idx="0">
                  <c:v>Finance</c:v>
                </c:pt>
                <c:pt idx="1">
                  <c:v>HR</c:v>
                </c:pt>
                <c:pt idx="2">
                  <c:v>IT</c:v>
                </c:pt>
                <c:pt idx="3">
                  <c:v>Legal</c:v>
                </c:pt>
                <c:pt idx="4">
                  <c:v>Marketing</c:v>
                </c:pt>
                <c:pt idx="5">
                  <c:v>Operations</c:v>
                </c:pt>
                <c:pt idx="6">
                  <c:v>Sales</c:v>
                </c:pt>
              </c:strCache>
            </c:strRef>
          </c:cat>
          <c:val>
            <c:numRef>
              <c:f>PIVOT_TABLES!$G$4:$G$11</c:f>
              <c:numCache>
                <c:formatCode>#,##0</c:formatCode>
                <c:ptCount val="7"/>
                <c:pt idx="0">
                  <c:v>16</c:v>
                </c:pt>
                <c:pt idx="1">
                  <c:v>17</c:v>
                </c:pt>
                <c:pt idx="2">
                  <c:v>12</c:v>
                </c:pt>
                <c:pt idx="3">
                  <c:v>5</c:v>
                </c:pt>
                <c:pt idx="4">
                  <c:v>9</c:v>
                </c:pt>
                <c:pt idx="5">
                  <c:v>14</c:v>
                </c:pt>
                <c:pt idx="6">
                  <c:v>27</c:v>
                </c:pt>
              </c:numCache>
            </c:numRef>
          </c:val>
          <c:extLst>
            <c:ext xmlns:c16="http://schemas.microsoft.com/office/drawing/2014/chart" uri="{C3380CC4-5D6E-409C-BE32-E72D297353CC}">
              <c16:uniqueId val="{00000001-014A-4BE6-A065-454F1B62F01E}"/>
            </c:ext>
          </c:extLst>
        </c:ser>
        <c:dLbls>
          <c:showLegendKey val="0"/>
          <c:showVal val="0"/>
          <c:showCatName val="0"/>
          <c:showSerName val="0"/>
          <c:showPercent val="0"/>
          <c:showBubbleSize val="0"/>
        </c:dLbls>
        <c:gapWidth val="219"/>
        <c:overlap val="-27"/>
        <c:axId val="822495120"/>
        <c:axId val="822498032"/>
      </c:barChart>
      <c:catAx>
        <c:axId val="822495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2498032"/>
        <c:crosses val="autoZero"/>
        <c:auto val="1"/>
        <c:lblAlgn val="ctr"/>
        <c:lblOffset val="100"/>
        <c:noMultiLvlLbl val="0"/>
      </c:catAx>
      <c:valAx>
        <c:axId val="82249803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2495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[HR_Employee_Dataset.xlsx]PIVOT_TABLES!PivotTable3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Performance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s>
    <c:plotArea>
      <c:layout/>
      <c:pieChart>
        <c:varyColors val="1"/>
        <c:ser>
          <c:idx val="0"/>
          <c:order val="0"/>
          <c:tx>
            <c:strRef>
              <c:f>PIVOT_TABLES!$K$2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3A3-4F73-B55F-6C81BA44384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3A3-4F73-B55F-6C81BA44384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3A3-4F73-B55F-6C81BA44384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3A3-4F73-B55F-6C81BA44384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3A3-4F73-B55F-6C81BA44384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PIVOT_TABLES!$J$3:$J$8</c:f>
              <c:strCache>
                <c:ptCount val="5"/>
                <c:pt idx="0">
                  <c:v>Average</c:v>
                </c:pt>
                <c:pt idx="1">
                  <c:v>Below Average</c:v>
                </c:pt>
                <c:pt idx="2">
                  <c:v>Excellent</c:v>
                </c:pt>
                <c:pt idx="3">
                  <c:v>Good</c:v>
                </c:pt>
                <c:pt idx="4">
                  <c:v>Poor</c:v>
                </c:pt>
              </c:strCache>
            </c:strRef>
          </c:cat>
          <c:val>
            <c:numRef>
              <c:f>PIVOT_TABLES!$K$3:$K$8</c:f>
              <c:numCache>
                <c:formatCode>#,##0</c:formatCode>
                <c:ptCount val="5"/>
                <c:pt idx="0">
                  <c:v>103</c:v>
                </c:pt>
                <c:pt idx="1">
                  <c:v>30</c:v>
                </c:pt>
                <c:pt idx="2">
                  <c:v>73</c:v>
                </c:pt>
                <c:pt idx="3">
                  <c:v>88</c:v>
                </c:pt>
                <c:pt idx="4">
                  <c:v>28</c:v>
                </c:pt>
              </c:numCache>
            </c:numRef>
          </c:val>
          <c:extLst>
            <c:ext xmlns:c16="http://schemas.microsoft.com/office/drawing/2014/chart" uri="{C3380CC4-5D6E-409C-BE32-E72D297353CC}">
              <c16:uniqueId val="{0000000A-E3A3-4F73-B55F-6C81BA44384B}"/>
            </c:ext>
          </c:extLst>
        </c:ser>
        <c:dLbls>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[HR_Employee_Dataset.xlsx]PIVOT_TABLES!PivotTable4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Gender Diversity by Location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PIVOT_TABLES!$N$2:$N$3</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PIVOT_TABLES!$M$4:$M$10</c:f>
              <c:strCache>
                <c:ptCount val="6"/>
                <c:pt idx="0">
                  <c:v>Bangalore</c:v>
                </c:pt>
                <c:pt idx="1">
                  <c:v>Chennai</c:v>
                </c:pt>
                <c:pt idx="2">
                  <c:v>Delhi</c:v>
                </c:pt>
                <c:pt idx="3">
                  <c:v>Hyderabad</c:v>
                </c:pt>
                <c:pt idx="4">
                  <c:v>Mumbai</c:v>
                </c:pt>
                <c:pt idx="5">
                  <c:v>Pune</c:v>
                </c:pt>
              </c:strCache>
            </c:strRef>
          </c:cat>
          <c:val>
            <c:numRef>
              <c:f>PIVOT_TABLES!$N$4:$N$10</c:f>
              <c:numCache>
                <c:formatCode>#,##0</c:formatCode>
                <c:ptCount val="6"/>
                <c:pt idx="0">
                  <c:v>48</c:v>
                </c:pt>
                <c:pt idx="1">
                  <c:v>14</c:v>
                </c:pt>
                <c:pt idx="2">
                  <c:v>30</c:v>
                </c:pt>
                <c:pt idx="3">
                  <c:v>21</c:v>
                </c:pt>
                <c:pt idx="4">
                  <c:v>38</c:v>
                </c:pt>
                <c:pt idx="5">
                  <c:v>20</c:v>
                </c:pt>
              </c:numCache>
            </c:numRef>
          </c:val>
          <c:extLst>
            <c:ext xmlns:c16="http://schemas.microsoft.com/office/drawing/2014/chart" uri="{C3380CC4-5D6E-409C-BE32-E72D297353CC}">
              <c16:uniqueId val="{00000000-5057-40ED-8164-C4C8FE3A85AB}"/>
            </c:ext>
          </c:extLst>
        </c:ser>
        <c:ser>
          <c:idx val="1"/>
          <c:order val="1"/>
          <c:tx>
            <c:strRef>
              <c:f>PIVOT_TABLES!$O$2:$O$3</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PIVOT_TABLES!$M$4:$M$10</c:f>
              <c:strCache>
                <c:ptCount val="6"/>
                <c:pt idx="0">
                  <c:v>Bangalore</c:v>
                </c:pt>
                <c:pt idx="1">
                  <c:v>Chennai</c:v>
                </c:pt>
                <c:pt idx="2">
                  <c:v>Delhi</c:v>
                </c:pt>
                <c:pt idx="3">
                  <c:v>Hyderabad</c:v>
                </c:pt>
                <c:pt idx="4">
                  <c:v>Mumbai</c:v>
                </c:pt>
                <c:pt idx="5">
                  <c:v>Pune</c:v>
                </c:pt>
              </c:strCache>
            </c:strRef>
          </c:cat>
          <c:val>
            <c:numRef>
              <c:f>PIVOT_TABLES!$O$4:$O$10</c:f>
              <c:numCache>
                <c:formatCode>#,##0</c:formatCode>
                <c:ptCount val="6"/>
                <c:pt idx="0">
                  <c:v>35</c:v>
                </c:pt>
                <c:pt idx="1">
                  <c:v>13</c:v>
                </c:pt>
                <c:pt idx="2">
                  <c:v>24</c:v>
                </c:pt>
                <c:pt idx="3">
                  <c:v>19</c:v>
                </c:pt>
                <c:pt idx="4">
                  <c:v>35</c:v>
                </c:pt>
                <c:pt idx="5">
                  <c:v>25</c:v>
                </c:pt>
              </c:numCache>
            </c:numRef>
          </c:val>
          <c:extLst>
            <c:ext xmlns:c16="http://schemas.microsoft.com/office/drawing/2014/chart" uri="{C3380CC4-5D6E-409C-BE32-E72D297353CC}">
              <c16:uniqueId val="{00000001-5057-40ED-8164-C4C8FE3A85AB}"/>
            </c:ext>
          </c:extLst>
        </c:ser>
        <c:dLbls>
          <c:dLblPos val="ctr"/>
          <c:showLegendKey val="0"/>
          <c:showVal val="1"/>
          <c:showCatName val="0"/>
          <c:showSerName val="0"/>
          <c:showPercent val="0"/>
          <c:showBubbleSize val="0"/>
        </c:dLbls>
        <c:gapWidth val="150"/>
        <c:overlap val="100"/>
        <c:axId val="1015113920"/>
        <c:axId val="1015111424"/>
      </c:barChart>
      <c:catAx>
        <c:axId val="10151139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5111424"/>
        <c:crosses val="autoZero"/>
        <c:auto val="1"/>
        <c:lblAlgn val="ctr"/>
        <c:lblOffset val="100"/>
        <c:noMultiLvlLbl val="0"/>
      </c:catAx>
      <c:valAx>
        <c:axId val="101511142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5113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[HR_Employee_Dataset.xlsx]PIVOT_TABLES!PivotTable5</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Salary Distribution by Experience Level</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PIVOT_TABLES!$S$2:$S$3</c:f>
              <c:strCache>
                <c:ptCount val="1"/>
                <c:pt idx="0">
                  <c:v>Band 1: &lt;5L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PIVOT_TABLES!$R$4:$R$8</c:f>
              <c:strCache>
                <c:ptCount val="4"/>
                <c:pt idx="0">
                  <c:v>Expert (10+ yrs)</c:v>
                </c:pt>
                <c:pt idx="1">
                  <c:v>Junior (0-2 yrs)</c:v>
                </c:pt>
                <c:pt idx="2">
                  <c:v>Mid-Level (2-5 yrs)</c:v>
                </c:pt>
                <c:pt idx="3">
                  <c:v>Senior (5-10 yrs)</c:v>
                </c:pt>
              </c:strCache>
            </c:strRef>
          </c:cat>
          <c:val>
            <c:numRef>
              <c:f>PIVOT_TABLES!$S$4:$S$8</c:f>
              <c:numCache>
                <c:formatCode>#,##0</c:formatCode>
                <c:ptCount val="4"/>
                <c:pt idx="0">
                  <c:v>21</c:v>
                </c:pt>
                <c:pt idx="2">
                  <c:v>1</c:v>
                </c:pt>
                <c:pt idx="3">
                  <c:v>6</c:v>
                </c:pt>
              </c:numCache>
            </c:numRef>
          </c:val>
          <c:extLst>
            <c:ext xmlns:c16="http://schemas.microsoft.com/office/drawing/2014/chart" uri="{C3380CC4-5D6E-409C-BE32-E72D297353CC}">
              <c16:uniqueId val="{00000000-BD66-4D3E-81D8-B031867B07E9}"/>
            </c:ext>
          </c:extLst>
        </c:ser>
        <c:ser>
          <c:idx val="1"/>
          <c:order val="1"/>
          <c:tx>
            <c:strRef>
              <c:f>PIVOT_TABLES!$T$2:$T$3</c:f>
              <c:strCache>
                <c:ptCount val="1"/>
                <c:pt idx="0">
                  <c:v>Band 2: 5-10L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PIVOT_TABLES!$R$4:$R$8</c:f>
              <c:strCache>
                <c:ptCount val="4"/>
                <c:pt idx="0">
                  <c:v>Expert (10+ yrs)</c:v>
                </c:pt>
                <c:pt idx="1">
                  <c:v>Junior (0-2 yrs)</c:v>
                </c:pt>
                <c:pt idx="2">
                  <c:v>Mid-Level (2-5 yrs)</c:v>
                </c:pt>
                <c:pt idx="3">
                  <c:v>Senior (5-10 yrs)</c:v>
                </c:pt>
              </c:strCache>
            </c:strRef>
          </c:cat>
          <c:val>
            <c:numRef>
              <c:f>PIVOT_TABLES!$T$4:$T$8</c:f>
              <c:numCache>
                <c:formatCode>#,##0</c:formatCode>
                <c:ptCount val="4"/>
                <c:pt idx="0">
                  <c:v>51</c:v>
                </c:pt>
                <c:pt idx="1">
                  <c:v>1</c:v>
                </c:pt>
                <c:pt idx="2">
                  <c:v>7</c:v>
                </c:pt>
                <c:pt idx="3">
                  <c:v>17</c:v>
                </c:pt>
              </c:numCache>
            </c:numRef>
          </c:val>
          <c:extLst>
            <c:ext xmlns:c16="http://schemas.microsoft.com/office/drawing/2014/chart" uri="{C3380CC4-5D6E-409C-BE32-E72D297353CC}">
              <c16:uniqueId val="{00000001-BD66-4D3E-81D8-B031867B07E9}"/>
            </c:ext>
          </c:extLst>
        </c:ser>
        <c:ser>
          <c:idx val="2"/>
          <c:order val="2"/>
          <c:tx>
            <c:strRef>
              <c:f>PIVOT_TABLES!$U$2:$U$3</c:f>
              <c:strCache>
                <c:ptCount val="1"/>
                <c:pt idx="0">
                  <c:v>Band 3: 10-15L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PIVOT_TABLES!$R$4:$R$8</c:f>
              <c:strCache>
                <c:ptCount val="4"/>
                <c:pt idx="0">
                  <c:v>Expert (10+ yrs)</c:v>
                </c:pt>
                <c:pt idx="1">
                  <c:v>Junior (0-2 yrs)</c:v>
                </c:pt>
                <c:pt idx="2">
                  <c:v>Mid-Level (2-5 yrs)</c:v>
                </c:pt>
                <c:pt idx="3">
                  <c:v>Senior (5-10 yrs)</c:v>
                </c:pt>
              </c:strCache>
            </c:strRef>
          </c:cat>
          <c:val>
            <c:numRef>
              <c:f>PIVOT_TABLES!$U$4:$U$8</c:f>
              <c:numCache>
                <c:formatCode>#,##0</c:formatCode>
                <c:ptCount val="4"/>
                <c:pt idx="0">
                  <c:v>49</c:v>
                </c:pt>
                <c:pt idx="1">
                  <c:v>5</c:v>
                </c:pt>
                <c:pt idx="2">
                  <c:v>6</c:v>
                </c:pt>
                <c:pt idx="3">
                  <c:v>12</c:v>
                </c:pt>
              </c:numCache>
            </c:numRef>
          </c:val>
          <c:extLst>
            <c:ext xmlns:c16="http://schemas.microsoft.com/office/drawing/2014/chart" uri="{C3380CC4-5D6E-409C-BE32-E72D297353CC}">
              <c16:uniqueId val="{00000002-BD66-4D3E-81D8-B031867B07E9}"/>
            </c:ext>
          </c:extLst>
        </c:ser>
        <c:ser>
          <c:idx val="3"/>
          <c:order val="3"/>
          <c:tx>
            <c:strRef>
              <c:f>PIVOT_TABLES!$V$2:$V$3</c:f>
              <c:strCache>
                <c:ptCount val="1"/>
                <c:pt idx="0">
                  <c:v>Band 4: 15-20L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PIVOT_TABLES!$R$4:$R$8</c:f>
              <c:strCache>
                <c:ptCount val="4"/>
                <c:pt idx="0">
                  <c:v>Expert (10+ yrs)</c:v>
                </c:pt>
                <c:pt idx="1">
                  <c:v>Junior (0-2 yrs)</c:v>
                </c:pt>
                <c:pt idx="2">
                  <c:v>Mid-Level (2-5 yrs)</c:v>
                </c:pt>
                <c:pt idx="3">
                  <c:v>Senior (5-10 yrs)</c:v>
                </c:pt>
              </c:strCache>
            </c:strRef>
          </c:cat>
          <c:val>
            <c:numRef>
              <c:f>PIVOT_TABLES!$V$4:$V$8</c:f>
              <c:numCache>
                <c:formatCode>#,##0</c:formatCode>
                <c:ptCount val="4"/>
                <c:pt idx="0">
                  <c:v>50</c:v>
                </c:pt>
                <c:pt idx="1">
                  <c:v>1</c:v>
                </c:pt>
                <c:pt idx="2">
                  <c:v>7</c:v>
                </c:pt>
                <c:pt idx="3">
                  <c:v>10</c:v>
                </c:pt>
              </c:numCache>
            </c:numRef>
          </c:val>
          <c:extLst>
            <c:ext xmlns:c16="http://schemas.microsoft.com/office/drawing/2014/chart" uri="{C3380CC4-5D6E-409C-BE32-E72D297353CC}">
              <c16:uniqueId val="{00000003-BD66-4D3E-81D8-B031867B07E9}"/>
            </c:ext>
          </c:extLst>
        </c:ser>
        <c:ser>
          <c:idx val="4"/>
          <c:order val="4"/>
          <c:tx>
            <c:strRef>
              <c:f>PIVOT_TABLES!$W$2:$W$3</c:f>
              <c:strCache>
                <c:ptCount val="1"/>
                <c:pt idx="0">
                  <c:v>Band 5: 20L+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PIVOT_TABLES!$R$4:$R$8</c:f>
              <c:strCache>
                <c:ptCount val="4"/>
                <c:pt idx="0">
                  <c:v>Expert (10+ yrs)</c:v>
                </c:pt>
                <c:pt idx="1">
                  <c:v>Junior (0-2 yrs)</c:v>
                </c:pt>
                <c:pt idx="2">
                  <c:v>Mid-Level (2-5 yrs)</c:v>
                </c:pt>
                <c:pt idx="3">
                  <c:v>Senior (5-10 yrs)</c:v>
                </c:pt>
              </c:strCache>
            </c:strRef>
          </c:cat>
          <c:val>
            <c:numRef>
              <c:f>PIVOT_TABLES!$W$4:$W$8</c:f>
              <c:numCache>
                <c:formatCode>#,##0</c:formatCode>
                <c:ptCount val="4"/>
                <c:pt idx="0">
                  <c:v>48</c:v>
                </c:pt>
                <c:pt idx="1">
                  <c:v>3</c:v>
                </c:pt>
                <c:pt idx="2">
                  <c:v>12</c:v>
                </c:pt>
                <c:pt idx="3">
                  <c:v>15</c:v>
                </c:pt>
              </c:numCache>
            </c:numRef>
          </c:val>
          <c:extLst>
            <c:ext xmlns:c16="http://schemas.microsoft.com/office/drawing/2014/chart" uri="{C3380CC4-5D6E-409C-BE32-E72D297353CC}">
              <c16:uniqueId val="{00000004-BD66-4D3E-81D8-B031867B07E9}"/>
            </c:ext>
          </c:extLst>
        </c:ser>
        <c:dLbls>
          <c:dLblPos val="outEnd"/>
          <c:showLegendKey val="0"/>
          <c:showVal val="1"/>
          <c:showCatName val="0"/>
          <c:showSerName val="0"/>
          <c:showPercent val="0"/>
          <c:showBubbleSize val="0"/>
        </c:dLbls>
        <c:gapWidth val="219"/>
        <c:overlap val="-27"/>
        <c:axId val="1267084144"/>
        <c:axId val="1267083312"/>
      </c:barChart>
      <c:catAx>
        <c:axId val="1267084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7083312"/>
        <c:crosses val="autoZero"/>
        <c:auto val="1"/>
        <c:lblAlgn val="ctr"/>
        <c:lblOffset val="100"/>
        <c:noMultiLvlLbl val="0"/>
      </c:catAx>
      <c:valAx>
        <c:axId val="126708331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7084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xdr:col>
      <xdr:colOff>7620</xdr:colOff>
      <xdr:row>1</xdr:row>
      <xdr:rowOff>3810</xdr:rowOff>
    </xdr:from>
    <xdr:to>
      <xdr:col>9</xdr:col>
      <xdr:colOff>0</xdr:colOff>
      <xdr:row>16</xdr:row>
      <xdr:rowOff>3810</xdr:rowOff>
    </xdr:to>
    <xdr:graphicFrame macro="">
      <xdr:nvGraphicFramePr>
        <xdr:cNvPr id="2" name="Chart 2">
          <a:extLst>
            <a:ext uri="{FF2B5EF4-FFF2-40B4-BE49-F238E27FC236}">
              <a16:creationId xmlns:a16="http://schemas.microsoft.com/office/drawing/2014/main" id="{DD76F263-0153-47AF-BB4B-0A4B5F4974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7620</xdr:colOff>
      <xdr:row>0</xdr:row>
      <xdr:rowOff>179070</xdr:rowOff>
    </xdr:from>
    <xdr:to>
      <xdr:col>18</xdr:col>
      <xdr:colOff>0</xdr:colOff>
      <xdr:row>15</xdr:row>
      <xdr:rowOff>179070</xdr:rowOff>
    </xdr:to>
    <xdr:graphicFrame macro="">
      <xdr:nvGraphicFramePr>
        <xdr:cNvPr id="3" name="Chart 3">
          <a:extLst>
            <a:ext uri="{FF2B5EF4-FFF2-40B4-BE49-F238E27FC236}">
              <a16:creationId xmlns:a16="http://schemas.microsoft.com/office/drawing/2014/main" id="{DF2A1F9D-DF73-4289-BC0B-82B9E7591B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7620</xdr:colOff>
      <xdr:row>1</xdr:row>
      <xdr:rowOff>11430</xdr:rowOff>
    </xdr:from>
    <xdr:to>
      <xdr:col>27</xdr:col>
      <xdr:colOff>7620</xdr:colOff>
      <xdr:row>16</xdr:row>
      <xdr:rowOff>11430</xdr:rowOff>
    </xdr:to>
    <xdr:graphicFrame macro="">
      <xdr:nvGraphicFramePr>
        <xdr:cNvPr id="4" name="Chart 4">
          <a:extLst>
            <a:ext uri="{FF2B5EF4-FFF2-40B4-BE49-F238E27FC236}">
              <a16:creationId xmlns:a16="http://schemas.microsoft.com/office/drawing/2014/main" id="{9827A1B8-3D88-447C-9B72-18B6722DC5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28</xdr:col>
      <xdr:colOff>7620</xdr:colOff>
      <xdr:row>1</xdr:row>
      <xdr:rowOff>11430</xdr:rowOff>
    </xdr:from>
    <xdr:to>
      <xdr:col>35</xdr:col>
      <xdr:colOff>601980</xdr:colOff>
      <xdr:row>16</xdr:row>
      <xdr:rowOff>11430</xdr:rowOff>
    </xdr:to>
    <xdr:graphicFrame macro="">
      <xdr:nvGraphicFramePr>
        <xdr:cNvPr id="5" name="Chart 5">
          <a:extLst>
            <a:ext uri="{FF2B5EF4-FFF2-40B4-BE49-F238E27FC236}">
              <a16:creationId xmlns:a16="http://schemas.microsoft.com/office/drawing/2014/main" id="{D39AB91A-FF55-4BE6-91E4-00F4C354EC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37</xdr:col>
      <xdr:colOff>0</xdr:colOff>
      <xdr:row>1</xdr:row>
      <xdr:rowOff>3810</xdr:rowOff>
    </xdr:from>
    <xdr:to>
      <xdr:col>45</xdr:col>
      <xdr:colOff>15240</xdr:colOff>
      <xdr:row>16</xdr:row>
      <xdr:rowOff>3810</xdr:rowOff>
    </xdr:to>
    <xdr:graphicFrame macro="">
      <xdr:nvGraphicFramePr>
        <xdr:cNvPr id="6" name="Chart 6">
          <a:extLst>
            <a:ext uri="{FF2B5EF4-FFF2-40B4-BE49-F238E27FC236}">
              <a16:creationId xmlns:a16="http://schemas.microsoft.com/office/drawing/2014/main" id="{7120CC54-817F-44A7-AD4D-FEE261FB30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13</xdr:row>
      <xdr:rowOff>0</xdr:rowOff>
    </xdr:from>
    <xdr:to>
      <xdr:col>13</xdr:col>
      <xdr:colOff>7620</xdr:colOff>
      <xdr:row>30</xdr:row>
      <xdr:rowOff>7620</xdr:rowOff>
    </xdr:to>
    <xdr:graphicFrame macro="">
      <xdr:nvGraphicFramePr>
        <xdr:cNvPr id="2" name="Chart 2">
          <a:extLst>
            <a:ext uri="{FF2B5EF4-FFF2-40B4-BE49-F238E27FC236}">
              <a16:creationId xmlns:a16="http://schemas.microsoft.com/office/drawing/2014/main" id="{9A0E19B5-C119-4830-9B9B-305D0E4F0B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608948</xdr:colOff>
      <xdr:row>12</xdr:row>
      <xdr:rowOff>182359</xdr:rowOff>
    </xdr:from>
    <xdr:to>
      <xdr:col>26</xdr:col>
      <xdr:colOff>7620</xdr:colOff>
      <xdr:row>30</xdr:row>
      <xdr:rowOff>3256</xdr:rowOff>
    </xdr:to>
    <xdr:graphicFrame macro="">
      <xdr:nvGraphicFramePr>
        <xdr:cNvPr id="3" name="Chart 3">
          <a:extLst>
            <a:ext uri="{FF2B5EF4-FFF2-40B4-BE49-F238E27FC236}">
              <a16:creationId xmlns:a16="http://schemas.microsoft.com/office/drawing/2014/main" id="{A5713C4F-86EC-45A4-8784-24AE460105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31</xdr:row>
      <xdr:rowOff>0</xdr:rowOff>
    </xdr:from>
    <xdr:to>
      <xdr:col>9</xdr:col>
      <xdr:colOff>0</xdr:colOff>
      <xdr:row>48</xdr:row>
      <xdr:rowOff>0</xdr:rowOff>
    </xdr:to>
    <xdr:graphicFrame macro="">
      <xdr:nvGraphicFramePr>
        <xdr:cNvPr id="4" name="Chart 4">
          <a:extLst>
            <a:ext uri="{FF2B5EF4-FFF2-40B4-BE49-F238E27FC236}">
              <a16:creationId xmlns:a16="http://schemas.microsoft.com/office/drawing/2014/main" id="{FC11B32E-FA00-4201-BB97-F168B1B41F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0</xdr:colOff>
      <xdr:row>31</xdr:row>
      <xdr:rowOff>0</xdr:rowOff>
    </xdr:from>
    <xdr:to>
      <xdr:col>18</xdr:col>
      <xdr:colOff>15240</xdr:colOff>
      <xdr:row>47</xdr:row>
      <xdr:rowOff>175260</xdr:rowOff>
    </xdr:to>
    <xdr:graphicFrame macro="">
      <xdr:nvGraphicFramePr>
        <xdr:cNvPr id="5" name="Chart 5">
          <a:extLst>
            <a:ext uri="{FF2B5EF4-FFF2-40B4-BE49-F238E27FC236}">
              <a16:creationId xmlns:a16="http://schemas.microsoft.com/office/drawing/2014/main" id="{3D54A83D-0B96-4347-9F46-59D972C318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0</xdr:colOff>
      <xdr:row>31</xdr:row>
      <xdr:rowOff>0</xdr:rowOff>
    </xdr:from>
    <xdr:to>
      <xdr:col>26</xdr:col>
      <xdr:colOff>15240</xdr:colOff>
      <xdr:row>47</xdr:row>
      <xdr:rowOff>175260</xdr:rowOff>
    </xdr:to>
    <xdr:graphicFrame macro="">
      <xdr:nvGraphicFramePr>
        <xdr:cNvPr id="7" name="Chart 6">
          <a:extLst>
            <a:ext uri="{FF2B5EF4-FFF2-40B4-BE49-F238E27FC236}">
              <a16:creationId xmlns:a16="http://schemas.microsoft.com/office/drawing/2014/main" id="{FF796C37-E547-4BB1-9CDD-26D7107AB4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27</xdr:col>
      <xdr:colOff>0</xdr:colOff>
      <xdr:row>15</xdr:row>
      <xdr:rowOff>106681</xdr:rowOff>
    </xdr:from>
    <xdr:to>
      <xdr:col>30</xdr:col>
      <xdr:colOff>0</xdr:colOff>
      <xdr:row>19</xdr:row>
      <xdr:rowOff>0</xdr:rowOff>
    </xdr:to>
    <mc:AlternateContent xmlns:mc="http://schemas.openxmlformats.org/markup-compatibility/2006" xmlns:a14="http://schemas.microsoft.com/office/drawing/2010/main">
      <mc:Choice Requires="a14">
        <xdr:graphicFrame macro="">
          <xdr:nvGraphicFramePr>
            <xdr:cNvPr id="11" name="Gender">
              <a:extLst>
                <a:ext uri="{FF2B5EF4-FFF2-40B4-BE49-F238E27FC236}">
                  <a16:creationId xmlns:a16="http://schemas.microsoft.com/office/drawing/2014/main" id="{CFB620E2-C75D-4086-BFB6-BC9FE894D29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6459200" y="2712721"/>
              <a:ext cx="1828800" cy="6248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0</xdr:colOff>
      <xdr:row>21</xdr:row>
      <xdr:rowOff>175261</xdr:rowOff>
    </xdr:from>
    <xdr:to>
      <xdr:col>30</xdr:col>
      <xdr:colOff>0</xdr:colOff>
      <xdr:row>32</xdr:row>
      <xdr:rowOff>175261</xdr:rowOff>
    </xdr:to>
    <mc:AlternateContent xmlns:mc="http://schemas.openxmlformats.org/markup-compatibility/2006" xmlns:a14="http://schemas.microsoft.com/office/drawing/2010/main">
      <mc:Choice Requires="a14">
        <xdr:graphicFrame macro="">
          <xdr:nvGraphicFramePr>
            <xdr:cNvPr id="12" name="Location 1">
              <a:extLst>
                <a:ext uri="{FF2B5EF4-FFF2-40B4-BE49-F238E27FC236}">
                  <a16:creationId xmlns:a16="http://schemas.microsoft.com/office/drawing/2014/main" id="{6D4AE61B-7184-4472-A15B-8CE94FDA8894}"/>
                </a:ext>
              </a:extLst>
            </xdr:cNvPr>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mlns="">
        <xdr:sp macro="" textlink="">
          <xdr:nvSpPr>
            <xdr:cNvPr id="0" name=""/>
            <xdr:cNvSpPr>
              <a:spLocks noTextEdit="1"/>
            </xdr:cNvSpPr>
          </xdr:nvSpPr>
          <xdr:spPr>
            <a:xfrm>
              <a:off x="16459200" y="3878581"/>
              <a:ext cx="1828800" cy="2011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0</xdr:colOff>
      <xdr:row>35</xdr:row>
      <xdr:rowOff>137161</xdr:rowOff>
    </xdr:from>
    <xdr:to>
      <xdr:col>30</xdr:col>
      <xdr:colOff>0</xdr:colOff>
      <xdr:row>47</xdr:row>
      <xdr:rowOff>175261</xdr:rowOff>
    </xdr:to>
    <mc:AlternateContent xmlns:mc="http://schemas.openxmlformats.org/markup-compatibility/2006" xmlns:a14="http://schemas.microsoft.com/office/drawing/2010/main">
      <mc:Choice Requires="a14">
        <xdr:graphicFrame macro="">
          <xdr:nvGraphicFramePr>
            <xdr:cNvPr id="13" name="Department">
              <a:extLst>
                <a:ext uri="{FF2B5EF4-FFF2-40B4-BE49-F238E27FC236}">
                  <a16:creationId xmlns:a16="http://schemas.microsoft.com/office/drawing/2014/main" id="{399D6143-1885-41E1-8157-F64E031C4CA8}"/>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6459200" y="6400801"/>
              <a:ext cx="1828800" cy="22326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AMMADEEP RAMTEKE" refreshedDate="46104.909905671295" createdVersion="7" refreshedVersion="7" minRefreshableVersion="3" recordCount="322" xr:uid="{8E0BAAAC-DAD1-404A-94B1-790791CA3F1F}">
  <cacheSource type="worksheet">
    <worksheetSource name="Dataset"/>
  </cacheSource>
  <cacheFields count="30">
    <cacheField name="Employee_ID" numFmtId="0">
      <sharedItems/>
    </cacheField>
    <cacheField name="Employee_Name" numFmtId="0">
      <sharedItems/>
    </cacheField>
    <cacheField name="Department" numFmtId="0">
      <sharedItems count="7">
        <s v="HR"/>
        <s v="Finance"/>
        <s v="Sales"/>
        <s v="Marketing"/>
        <s v="IT"/>
        <s v="Legal"/>
        <s v="Operations"/>
      </sharedItems>
    </cacheField>
    <cacheField name="Location" numFmtId="0">
      <sharedItems count="6">
        <s v="Bangalore"/>
        <s v="Delhi"/>
        <s v="Chennai"/>
        <s v="Hyderabad"/>
        <s v="Mumbai"/>
        <s v="Pune"/>
      </sharedItems>
    </cacheField>
    <cacheField name="Job_Title" numFmtId="0">
      <sharedItems/>
    </cacheField>
    <cacheField name="Gender" numFmtId="0">
      <sharedItems count="2">
        <s v="Male"/>
        <s v="Female"/>
      </sharedItems>
    </cacheField>
    <cacheField name="Age" numFmtId="0">
      <sharedItems containsSemiMixedTypes="0" containsString="0" containsNumber="1" containsInteger="1" minValue="22" maxValue="58"/>
    </cacheField>
    <cacheField name="Education" numFmtId="0">
      <sharedItems/>
    </cacheField>
    <cacheField name="Employment_Status" numFmtId="0">
      <sharedItems/>
    </cacheField>
    <cacheField name="Joining_Date" numFmtId="14">
      <sharedItems containsSemiMixedTypes="0" containsNonDate="0" containsDate="1" containsString="0" minDate="2010-01-01T00:00:00" maxDate="2024-12-08T00:00:00"/>
    </cacheField>
    <cacheField name="Experience_Years" numFmtId="164">
      <sharedItems containsSemiMixedTypes="0" containsString="0" containsNumber="1" minValue="0.6" maxValue="29.9"/>
    </cacheField>
    <cacheField name="Annual_Salary" numFmtId="165">
      <sharedItems containsSemiMixedTypes="0" containsString="0" containsNumber="1" containsInteger="1" minValue="321866" maxValue="2495786"/>
    </cacheField>
    <cacheField name="Bonus_Percent" numFmtId="166">
      <sharedItems containsSemiMixedTypes="0" containsString="0" containsNumber="1" minValue="5.0000000000000001E-4" maxValue="0.2487"/>
    </cacheField>
    <cacheField name="Performance_Rating" numFmtId="3">
      <sharedItems containsSemiMixedTypes="0" containsString="0" containsNumber="1" containsInteger="1" minValue="1" maxValue="5"/>
    </cacheField>
    <cacheField name="Attrition" numFmtId="0">
      <sharedItems count="2">
        <s v="Yes"/>
        <s v="No"/>
      </sharedItems>
    </cacheField>
    <cacheField name="Phone" numFmtId="0">
      <sharedItems containsSemiMixedTypes="0" containsString="0" containsNumber="1" containsInteger="1" minValue="7002435157" maxValue="9995732958"/>
    </cacheField>
    <cacheField name="Email" numFmtId="0">
      <sharedItems/>
    </cacheField>
    <cacheField name="Overtime_Hours" numFmtId="1">
      <sharedItems containsSemiMixedTypes="0" containsString="0" containsNumber="1" containsInteger="1" minValue="0" maxValue="80"/>
    </cacheField>
    <cacheField name="Training_Hours" numFmtId="1">
      <sharedItems containsSemiMixedTypes="0" containsString="0" containsNumber="1" containsInteger="1" minValue="0" maxValue="120"/>
    </cacheField>
    <cacheField name="Manager_ID" numFmtId="0">
      <sharedItems/>
    </cacheField>
    <cacheField name="Email_Valid" numFmtId="0">
      <sharedItems/>
    </cacheField>
    <cacheField name="Joining_Month_Num" numFmtId="0">
      <sharedItems containsSemiMixedTypes="0" containsString="0" containsNumber="1" containsInteger="1" minValue="1" maxValue="12"/>
    </cacheField>
    <cacheField name="Joining_Month_Name" numFmtId="0">
      <sharedItems/>
    </cacheField>
    <cacheField name="Joining_Year" numFmtId="0">
      <sharedItems containsSemiMixedTypes="0" containsString="0" containsNumber="1" containsInteger="1" minValue="2010" maxValue="2024"/>
    </cacheField>
    <cacheField name="Tenure_Years" numFmtId="0">
      <sharedItems containsSemiMixedTypes="0" containsString="0" containsNumber="1" containsInteger="1" minValue="1" maxValue="16"/>
    </cacheField>
    <cacheField name="Age_Group" numFmtId="0">
      <sharedItems/>
    </cacheField>
    <cacheField name="Salary_Band" numFmtId="0">
      <sharedItems count="5">
        <s v="Band 4: 15-20L"/>
        <s v="Band 2: 5-10L"/>
        <s v="Band 3: 10-15L"/>
        <s v="Band 1: &lt;5L"/>
        <s v="Band 5: 20L+"/>
      </sharedItems>
    </cacheField>
    <cacheField name="Performance_Category" numFmtId="0">
      <sharedItems count="5">
        <s v="Good"/>
        <s v="Excellent"/>
        <s v="Average"/>
        <s v="Below Average"/>
        <s v="Poor"/>
      </sharedItems>
    </cacheField>
    <cacheField name="Bonus_Amount" numFmtId="165">
      <sharedItems containsSemiMixedTypes="0" containsString="0" containsNumber="1" minValue="911.98400000000004" maxValue="589119.91619999998"/>
    </cacheField>
    <cacheField name="Experience_Category" numFmtId="0">
      <sharedItems count="4">
        <s v="Mid-Level (2-5 yrs)"/>
        <s v="Expert (10+ yrs)"/>
        <s v="Senior (5-10 yrs)"/>
        <s v="Junior (0-2 yrs)"/>
      </sharedItems>
    </cacheField>
  </cacheFields>
  <extLst>
    <ext xmlns:x14="http://schemas.microsoft.com/office/spreadsheetml/2009/9/main" uri="{725AE2AE-9491-48be-B2B4-4EB974FC3084}">
      <x14:pivotCacheDefinition pivotCacheId="14152754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2">
  <r>
    <s v="EMP1493"/>
    <s v="Yash Gupta"/>
    <x v="0"/>
    <x v="0"/>
    <s v="Senior Manager"/>
    <x v="0"/>
    <n v="24"/>
    <s v="M.Tech"/>
    <s v="Contract"/>
    <d v="2023-05-13T00:00:00"/>
    <n v="2.4"/>
    <n v="1939110"/>
    <n v="0.17679999999999998"/>
    <n v="4"/>
    <x v="0"/>
    <n v="8389763738"/>
    <s v="yashgupta@companycom"/>
    <n v="72"/>
    <n v="23"/>
    <s v="EMP1001"/>
    <s v="Invalid"/>
    <n v="5"/>
    <s v="May"/>
    <n v="2023"/>
    <n v="2"/>
    <s v="20-29"/>
    <x v="0"/>
    <x v="0"/>
    <n v="342834.64799999999"/>
    <x v="0"/>
  </r>
  <r>
    <s v="EMP1262"/>
    <s v="Shruti Bhat"/>
    <x v="1"/>
    <x v="1"/>
    <s v="Intern"/>
    <x v="1"/>
    <n v="22"/>
    <s v="BBA"/>
    <s v="On Leave"/>
    <d v="2023-01-14T00:00:00"/>
    <n v="15.5"/>
    <n v="906497"/>
    <n v="0.17300000000000001"/>
    <n v="4"/>
    <x v="1"/>
    <n v="7293791975"/>
    <s v="shrutibhat@company.com"/>
    <n v="42"/>
    <n v="72"/>
    <s v="EMP1043"/>
    <s v="Valid"/>
    <n v="1"/>
    <s v="Jan"/>
    <n v="2023"/>
    <n v="3"/>
    <s v="20-29"/>
    <x v="1"/>
    <x v="0"/>
    <n v="156823.981"/>
    <x v="1"/>
  </r>
  <r>
    <s v="EMP1338"/>
    <s v="Sunita Sharma"/>
    <x v="2"/>
    <x v="0"/>
    <s v="Consultant"/>
    <x v="1"/>
    <n v="29"/>
    <s v="MCA"/>
    <s v="Terminated"/>
    <d v="2016-09-11T00:00:00"/>
    <n v="6.8"/>
    <n v="652601"/>
    <n v="4.7400000000000005E-2"/>
    <n v="5"/>
    <x v="0"/>
    <n v="9785809193"/>
    <s v="sunitasharma@company.com"/>
    <n v="35"/>
    <n v="63"/>
    <s v="EMP1067"/>
    <s v="Valid"/>
    <n v="9"/>
    <s v="Sep"/>
    <n v="2016"/>
    <n v="9"/>
    <s v="20-29"/>
    <x v="1"/>
    <x v="1"/>
    <n v="30933.287400000005"/>
    <x v="2"/>
  </r>
  <r>
    <s v="EMP1154"/>
    <s v="Rahul Patel"/>
    <x v="3"/>
    <x v="1"/>
    <s v="Senior Consultant"/>
    <x v="1"/>
    <n v="30"/>
    <s v="B.Tech"/>
    <s v="On Leave"/>
    <d v="2013-07-26T00:00:00"/>
    <n v="24.3"/>
    <n v="972149"/>
    <n v="0.23730000000000001"/>
    <n v="3"/>
    <x v="1"/>
    <n v="8067614205"/>
    <s v="rahulpatel@company.com"/>
    <n v="51"/>
    <n v="94"/>
    <s v="EMP1075"/>
    <s v="Valid"/>
    <n v="7"/>
    <s v="Jul"/>
    <n v="2013"/>
    <n v="12"/>
    <s v="30-39"/>
    <x v="1"/>
    <x v="2"/>
    <n v="230690.9577"/>
    <x v="1"/>
  </r>
  <r>
    <s v="EMP1403"/>
    <s v="Ankit Nair"/>
    <x v="3"/>
    <x v="2"/>
    <s v="Senior Manager"/>
    <x v="0"/>
    <n v="25"/>
    <s v="Diploma"/>
    <s v="Terminated"/>
    <d v="2018-01-11T00:00:00"/>
    <n v="17.600000000000001"/>
    <n v="1323161"/>
    <n v="0.14730000000000001"/>
    <n v="2"/>
    <x v="1"/>
    <n v="8897937786"/>
    <s v="ankitnair@company.com"/>
    <n v="38"/>
    <n v="74"/>
    <s v="EMP1056"/>
    <s v="Valid"/>
    <n v="1"/>
    <s v="Jan"/>
    <n v="2018"/>
    <n v="8"/>
    <s v="20-29"/>
    <x v="2"/>
    <x v="3"/>
    <n v="194901.6153"/>
    <x v="1"/>
  </r>
  <r>
    <s v="EMP1191"/>
    <s v="Piyush Bose"/>
    <x v="4"/>
    <x v="2"/>
    <s v="Director"/>
    <x v="0"/>
    <n v="25"/>
    <s v="BBA"/>
    <s v="Active"/>
    <d v="2024-09-08T00:00:00"/>
    <n v="14.5"/>
    <n v="1972456"/>
    <n v="0.1993"/>
    <n v="3"/>
    <x v="1"/>
    <n v="9278231594"/>
    <s v="piyushboseat-company.com"/>
    <n v="40"/>
    <n v="87"/>
    <s v="EMP1006"/>
    <s v="Invalid"/>
    <n v="9"/>
    <s v="Sep"/>
    <n v="2024"/>
    <n v="1"/>
    <s v="20-29"/>
    <x v="0"/>
    <x v="2"/>
    <n v="393110.48080000002"/>
    <x v="1"/>
  </r>
  <r>
    <s v="EMP1358"/>
    <s v="Priya Sinha"/>
    <x v="5"/>
    <x v="1"/>
    <s v="Intern"/>
    <x v="1"/>
    <n v="49"/>
    <s v="B.Tech"/>
    <s v="On Leave"/>
    <d v="2024-11-10T00:00:00"/>
    <n v="16.8"/>
    <n v="539572"/>
    <n v="9.5299999999999996E-2"/>
    <n v="4"/>
    <x v="1"/>
    <n v="9440843025"/>
    <s v="priyasinhaat-company.com"/>
    <n v="30"/>
    <n v="1"/>
    <s v="EMP1036"/>
    <s v="Invalid"/>
    <n v="11"/>
    <s v="Nov"/>
    <n v="2024"/>
    <n v="1"/>
    <s v="40-49"/>
    <x v="1"/>
    <x v="0"/>
    <n v="51421.211599999995"/>
    <x v="1"/>
  </r>
  <r>
    <s v="EMP1397"/>
    <s v="Anjali Pandey"/>
    <x v="2"/>
    <x v="1"/>
    <s v="Intern"/>
    <x v="1"/>
    <n v="27"/>
    <s v="B.Com"/>
    <s v="Contract"/>
    <d v="2018-09-28T00:00:00"/>
    <n v="26.6"/>
    <n v="395292"/>
    <n v="8.0700000000000008E-2"/>
    <n v="3"/>
    <x v="1"/>
    <n v="7752525490"/>
    <s v="anjalipandeyat-company.com"/>
    <n v="3"/>
    <n v="59"/>
    <s v="EMP1059"/>
    <s v="Invalid"/>
    <n v="9"/>
    <s v="Sep"/>
    <n v="2018"/>
    <n v="7"/>
    <s v="20-29"/>
    <x v="3"/>
    <x v="2"/>
    <n v="31900.064400000003"/>
    <x v="1"/>
  </r>
  <r>
    <s v="EMP1100"/>
    <s v="Archana Kapoor"/>
    <x v="5"/>
    <x v="1"/>
    <s v="Analyst"/>
    <x v="1"/>
    <n v="47"/>
    <s v="M.Tech"/>
    <s v="On Leave"/>
    <d v="2016-08-18T00:00:00"/>
    <n v="29.7"/>
    <n v="1553428"/>
    <n v="0.24559999999999998"/>
    <n v="4"/>
    <x v="1"/>
    <n v="7600406558"/>
    <s v="archanakapoorat-company.com"/>
    <n v="51"/>
    <n v="80"/>
    <s v="EMP1083"/>
    <s v="Invalid"/>
    <n v="8"/>
    <s v="Aug"/>
    <n v="2016"/>
    <n v="9"/>
    <s v="40-49"/>
    <x v="0"/>
    <x v="0"/>
    <n v="381521.91679999995"/>
    <x v="1"/>
  </r>
  <r>
    <s v="EMP1196"/>
    <s v="Pallavi Verma"/>
    <x v="3"/>
    <x v="2"/>
    <s v="VP"/>
    <x v="1"/>
    <n v="27"/>
    <s v="MCA"/>
    <s v="Contract"/>
    <d v="2021-10-08T00:00:00"/>
    <n v="4.5999999999999996"/>
    <n v="2137036"/>
    <n v="4.0999999999999995E-3"/>
    <n v="2"/>
    <x v="1"/>
    <n v="9146127091"/>
    <s v="pallaviverma@company.com"/>
    <n v="43"/>
    <n v="5"/>
    <s v="EMP1052"/>
    <s v="Valid"/>
    <n v="10"/>
    <s v="Oct"/>
    <n v="2021"/>
    <n v="4"/>
    <s v="20-29"/>
    <x v="4"/>
    <x v="3"/>
    <n v="8761.8475999999991"/>
    <x v="0"/>
  </r>
  <r>
    <s v="EMP1173"/>
    <s v="Rekha Saxena"/>
    <x v="3"/>
    <x v="0"/>
    <s v="VP"/>
    <x v="0"/>
    <n v="32"/>
    <s v="BBA"/>
    <s v="Contract"/>
    <d v="2020-08-03T00:00:00"/>
    <n v="27.2"/>
    <n v="528785"/>
    <n v="0.11269999999999999"/>
    <n v="2"/>
    <x v="1"/>
    <n v="9989787464"/>
    <s v="rekhasaxena@companycom"/>
    <n v="75"/>
    <n v="114"/>
    <s v="EMP1026"/>
    <s v="Invalid"/>
    <n v="8"/>
    <s v="Aug"/>
    <n v="2020"/>
    <n v="5"/>
    <s v="30-39"/>
    <x v="1"/>
    <x v="3"/>
    <n v="59594.069499999998"/>
    <x v="1"/>
  </r>
  <r>
    <s v="EMP1015"/>
    <s v="Preeti Banerjee"/>
    <x v="1"/>
    <x v="0"/>
    <s v="Associate"/>
    <x v="1"/>
    <n v="32"/>
    <s v="Diploma"/>
    <s v="Contract"/>
    <d v="2023-04-22T00:00:00"/>
    <n v="19.2"/>
    <n v="1490286"/>
    <n v="1.8200000000000001E-2"/>
    <n v="4"/>
    <x v="0"/>
    <n v="8051590706"/>
    <s v="preetibanerjee@companycom"/>
    <n v="80"/>
    <n v="91"/>
    <s v="EMP1090"/>
    <s v="Invalid"/>
    <n v="4"/>
    <s v="Apr"/>
    <n v="2023"/>
    <n v="2"/>
    <s v="30-39"/>
    <x v="2"/>
    <x v="0"/>
    <n v="27123.2052"/>
    <x v="1"/>
  </r>
  <r>
    <s v="EMP1273"/>
    <s v="Vikram Kapoor"/>
    <x v="1"/>
    <x v="0"/>
    <s v="Lead"/>
    <x v="1"/>
    <n v="28"/>
    <s v="MCA"/>
    <s v="Active"/>
    <d v="2010-08-01T00:00:00"/>
    <n v="5.4"/>
    <n v="1667398"/>
    <n v="0.17730000000000001"/>
    <n v="4"/>
    <x v="0"/>
    <n v="7834957049"/>
    <s v="vikramkapoor@company.com"/>
    <n v="59"/>
    <n v="8"/>
    <s v="EMP1011"/>
    <s v="Valid"/>
    <n v="8"/>
    <s v="Aug"/>
    <n v="2010"/>
    <n v="15"/>
    <s v="20-29"/>
    <x v="0"/>
    <x v="0"/>
    <n v="295629.6654"/>
    <x v="2"/>
  </r>
  <r>
    <s v="EMP1147"/>
    <s v="Karan Patel"/>
    <x v="3"/>
    <x v="3"/>
    <s v="Senior Consultant"/>
    <x v="1"/>
    <n v="44"/>
    <s v="MCA"/>
    <s v="On Leave"/>
    <d v="2016-11-24T00:00:00"/>
    <n v="8.3000000000000007"/>
    <n v="340782"/>
    <n v="6.7299999999999999E-2"/>
    <n v="2"/>
    <x v="1"/>
    <n v="9046790105"/>
    <s v="karanpatelat-company.com"/>
    <n v="24"/>
    <n v="25"/>
    <s v="EMP1031"/>
    <s v="Invalid"/>
    <n v="11"/>
    <s v="Nov"/>
    <n v="2016"/>
    <n v="9"/>
    <s v="40-49"/>
    <x v="3"/>
    <x v="3"/>
    <n v="22934.6286"/>
    <x v="2"/>
  </r>
  <r>
    <s v="EMP1107"/>
    <s v="Anjali Gupta"/>
    <x v="1"/>
    <x v="2"/>
    <s v="Manager"/>
    <x v="0"/>
    <n v="32"/>
    <s v="B.Com"/>
    <s v="On Leave"/>
    <d v="2021-12-18T00:00:00"/>
    <n v="6.1"/>
    <n v="1688711"/>
    <n v="3.8399999999999997E-2"/>
    <n v="5"/>
    <x v="1"/>
    <n v="7213182609"/>
    <s v="anjaligupta@company.com"/>
    <n v="54"/>
    <n v="105"/>
    <s v="EMP1085"/>
    <s v="Valid"/>
    <n v="12"/>
    <s v="Dec"/>
    <n v="2021"/>
    <n v="4"/>
    <s v="30-39"/>
    <x v="0"/>
    <x v="1"/>
    <n v="64846.502399999998"/>
    <x v="2"/>
  </r>
  <r>
    <s v="EMP1190"/>
    <s v="Anjali Mehta"/>
    <x v="3"/>
    <x v="1"/>
    <s v="Analyst"/>
    <x v="0"/>
    <n v="22"/>
    <s v="BBA"/>
    <s v="Terminated"/>
    <d v="2015-03-09T00:00:00"/>
    <n v="22.3"/>
    <n v="1032383"/>
    <n v="0.1489"/>
    <n v="4"/>
    <x v="0"/>
    <n v="7142122736"/>
    <s v="anjalimehta@company.com"/>
    <n v="63"/>
    <n v="52"/>
    <s v="EMP1099"/>
    <s v="Valid"/>
    <n v="3"/>
    <s v="Mar"/>
    <n v="2015"/>
    <n v="11"/>
    <s v="20-29"/>
    <x v="2"/>
    <x v="0"/>
    <n v="153721.82870000001"/>
    <x v="1"/>
  </r>
  <r>
    <s v="EMP1362"/>
    <s v="Arjun Reddy"/>
    <x v="6"/>
    <x v="3"/>
    <s v="Senior Consultant"/>
    <x v="1"/>
    <n v="24"/>
    <s v="M.Tech"/>
    <s v="On Leave"/>
    <d v="2011-04-19T00:00:00"/>
    <n v="29.9"/>
    <n v="929458"/>
    <n v="0.15179999999999999"/>
    <n v="5"/>
    <x v="0"/>
    <n v="9314847294"/>
    <s v="arjunreddy@company.com"/>
    <n v="66"/>
    <n v="34"/>
    <s v="EMP1025"/>
    <s v="Valid"/>
    <n v="4"/>
    <s v="Apr"/>
    <n v="2011"/>
    <n v="14"/>
    <s v="20-29"/>
    <x v="1"/>
    <x v="1"/>
    <n v="141091.72439999998"/>
    <x v="1"/>
  </r>
  <r>
    <s v="EMP1492"/>
    <s v="Amit Desai"/>
    <x v="6"/>
    <x v="0"/>
    <s v="Associate"/>
    <x v="1"/>
    <n v="40"/>
    <s v="Diploma"/>
    <s v="Terminated"/>
    <d v="2023-05-22T00:00:00"/>
    <n v="27.9"/>
    <n v="1982310"/>
    <n v="3.6900000000000002E-2"/>
    <n v="4"/>
    <x v="1"/>
    <n v="7158044711"/>
    <s v="amitdesai@company.com"/>
    <n v="16"/>
    <n v="9"/>
    <s v="EMP1037"/>
    <s v="Valid"/>
    <n v="5"/>
    <s v="May"/>
    <n v="2023"/>
    <n v="2"/>
    <s v="40-49"/>
    <x v="0"/>
    <x v="0"/>
    <n v="73147.239000000001"/>
    <x v="1"/>
  </r>
  <r>
    <s v="EMP1456"/>
    <s v="Sanjay Joshi"/>
    <x v="2"/>
    <x v="4"/>
    <s v="Manager"/>
    <x v="1"/>
    <n v="45"/>
    <s v="Diploma"/>
    <s v="Contract"/>
    <d v="2016-03-11T00:00:00"/>
    <n v="19.100000000000001"/>
    <n v="1872985"/>
    <n v="1.3999999999999999E-2"/>
    <n v="1"/>
    <x v="1"/>
    <n v="9429306031"/>
    <s v="sanjayjoshi@company.com"/>
    <n v="16"/>
    <n v="118"/>
    <s v="EMP1009"/>
    <s v="Valid"/>
    <n v="3"/>
    <s v="Mar"/>
    <n v="2016"/>
    <n v="10"/>
    <s v="40-49"/>
    <x v="0"/>
    <x v="4"/>
    <n v="26221.789999999997"/>
    <x v="1"/>
  </r>
  <r>
    <s v="EMP1313"/>
    <s v="Nikhil Nair"/>
    <x v="2"/>
    <x v="4"/>
    <s v="VP"/>
    <x v="1"/>
    <n v="49"/>
    <s v="MCA"/>
    <s v="Contract"/>
    <d v="2020-04-13T00:00:00"/>
    <n v="19.3"/>
    <n v="2036208"/>
    <n v="0.1452"/>
    <n v="4"/>
    <x v="1"/>
    <n v="9286960285"/>
    <s v="nikhilnairat-company.com"/>
    <n v="73"/>
    <n v="103"/>
    <s v="EMP1096"/>
    <s v="Invalid"/>
    <n v="4"/>
    <s v="Apr"/>
    <n v="2020"/>
    <n v="5"/>
    <s v="40-49"/>
    <x v="4"/>
    <x v="0"/>
    <n v="295657.40159999998"/>
    <x v="1"/>
  </r>
  <r>
    <s v="EMP1290"/>
    <s v="Nikhil Desai"/>
    <x v="5"/>
    <x v="4"/>
    <s v="Manager"/>
    <x v="0"/>
    <n v="52"/>
    <s v="MCA"/>
    <s v="On Leave"/>
    <d v="2021-04-23T00:00:00"/>
    <n v="16.100000000000001"/>
    <n v="1941494"/>
    <n v="0.17739999999999997"/>
    <n v="3"/>
    <x v="1"/>
    <n v="9492728925"/>
    <s v="nikhildesaiat-company.com"/>
    <n v="20"/>
    <n v="56"/>
    <s v="EMP1090"/>
    <s v="Invalid"/>
    <n v="4"/>
    <s v="Apr"/>
    <n v="2021"/>
    <n v="4"/>
    <s v="50+"/>
    <x v="0"/>
    <x v="2"/>
    <n v="344421.03559999994"/>
    <x v="1"/>
  </r>
  <r>
    <s v="EMP1117"/>
    <s v="Komal Patel"/>
    <x v="2"/>
    <x v="5"/>
    <s v="Consultant"/>
    <x v="0"/>
    <n v="48"/>
    <s v="Diploma"/>
    <s v="Terminated"/>
    <d v="2019-08-05T00:00:00"/>
    <n v="6.4"/>
    <n v="932410"/>
    <n v="1.4499999999999999E-2"/>
    <n v="3"/>
    <x v="1"/>
    <n v="8428632583"/>
    <s v="komalpatel@company.com"/>
    <n v="26"/>
    <n v="21"/>
    <s v="EMP1074"/>
    <s v="Valid"/>
    <n v="8"/>
    <s v="Aug"/>
    <n v="2019"/>
    <n v="6"/>
    <s v="40-49"/>
    <x v="1"/>
    <x v="2"/>
    <n v="13519.945"/>
    <x v="2"/>
  </r>
  <r>
    <s v="EMP1409"/>
    <s v="Manish Bose"/>
    <x v="6"/>
    <x v="1"/>
    <s v="Executive"/>
    <x v="0"/>
    <n v="48"/>
    <s v="B.Com"/>
    <s v="Active"/>
    <d v="2018-06-01T00:00:00"/>
    <n v="25"/>
    <n v="2339931"/>
    <n v="1.6799999999999999E-2"/>
    <n v="1"/>
    <x v="1"/>
    <n v="9314168714"/>
    <s v="manishbose@company.com"/>
    <n v="11"/>
    <n v="99"/>
    <s v="EMP1015"/>
    <s v="Valid"/>
    <n v="6"/>
    <s v="Jun"/>
    <n v="2018"/>
    <n v="7"/>
    <s v="40-49"/>
    <x v="4"/>
    <x v="4"/>
    <n v="39310.840799999998"/>
    <x v="1"/>
  </r>
  <r>
    <s v="EMP1007"/>
    <s v="Hemant Menon"/>
    <x v="6"/>
    <x v="0"/>
    <s v="Senior Analyst"/>
    <x v="1"/>
    <n v="44"/>
    <s v="MBA"/>
    <s v="On Leave"/>
    <d v="2020-02-02T00:00:00"/>
    <n v="2.1"/>
    <n v="2258843"/>
    <n v="0.10550000000000001"/>
    <n v="3"/>
    <x v="1"/>
    <n v="8067970820"/>
    <s v="hemantmenon@company.com"/>
    <n v="31"/>
    <n v="9"/>
    <s v="EMP1057"/>
    <s v="Valid"/>
    <n v="2"/>
    <s v="Feb"/>
    <n v="2020"/>
    <n v="6"/>
    <s v="40-49"/>
    <x v="4"/>
    <x v="2"/>
    <n v="238307.93650000001"/>
    <x v="0"/>
  </r>
  <r>
    <s v="EMP1286"/>
    <s v="Varsha Pandey"/>
    <x v="1"/>
    <x v="3"/>
    <s v="Senior Consultant"/>
    <x v="1"/>
    <n v="34"/>
    <s v="B.Sc"/>
    <s v="Terminated"/>
    <d v="2010-03-16T00:00:00"/>
    <n v="23.7"/>
    <n v="2481266"/>
    <n v="0.12050000000000001"/>
    <n v="5"/>
    <x v="0"/>
    <n v="9004903816"/>
    <s v="varshapandey@company.com"/>
    <n v="31"/>
    <n v="96"/>
    <s v="EMP1085"/>
    <s v="Valid"/>
    <n v="3"/>
    <s v="Mar"/>
    <n v="2010"/>
    <n v="16"/>
    <s v="30-39"/>
    <x v="4"/>
    <x v="1"/>
    <n v="298992.55300000001"/>
    <x v="1"/>
  </r>
  <r>
    <s v="EMP1218"/>
    <s v="Geeta Chatterjee"/>
    <x v="1"/>
    <x v="3"/>
    <s v="Consultant"/>
    <x v="1"/>
    <n v="47"/>
    <s v="MBA"/>
    <s v="Active"/>
    <d v="2015-04-11T00:00:00"/>
    <n v="26.8"/>
    <n v="726653"/>
    <n v="0.1484"/>
    <n v="3"/>
    <x v="0"/>
    <n v="9143661603"/>
    <s v="geetachatterjee@company.com"/>
    <n v="51"/>
    <n v="85"/>
    <s v="EMP1078"/>
    <s v="Valid"/>
    <n v="4"/>
    <s v="Apr"/>
    <n v="2015"/>
    <n v="10"/>
    <s v="40-49"/>
    <x v="1"/>
    <x v="2"/>
    <n v="107835.3052"/>
    <x v="1"/>
  </r>
  <r>
    <s v="EMP1383"/>
    <s v="Tanvi Menon"/>
    <x v="1"/>
    <x v="4"/>
    <s v="Senior Manager"/>
    <x v="1"/>
    <n v="33"/>
    <s v="B.Com"/>
    <s v="Active"/>
    <d v="2015-08-03T00:00:00"/>
    <n v="23.8"/>
    <n v="384336"/>
    <n v="4.4500000000000005E-2"/>
    <n v="4"/>
    <x v="1"/>
    <n v="7570091680"/>
    <s v="tanvimenon@company.com"/>
    <n v="40"/>
    <n v="106"/>
    <s v="EMP1025"/>
    <s v="Valid"/>
    <n v="8"/>
    <s v="Aug"/>
    <n v="2015"/>
    <n v="10"/>
    <s v="30-39"/>
    <x v="3"/>
    <x v="0"/>
    <n v="17102.952000000001"/>
    <x v="1"/>
  </r>
  <r>
    <s v="EMP1312"/>
    <s v="Rekha Gupta"/>
    <x v="2"/>
    <x v="3"/>
    <s v="Consultant"/>
    <x v="0"/>
    <n v="44"/>
    <s v="CA"/>
    <s v="Terminated"/>
    <d v="2022-12-26T00:00:00"/>
    <n v="20"/>
    <n v="1437047"/>
    <n v="0.18030000000000002"/>
    <n v="1"/>
    <x v="1"/>
    <n v="9816872014"/>
    <s v="rekhagupta@company.com"/>
    <n v="61"/>
    <n v="14"/>
    <s v="EMP1074"/>
    <s v="Valid"/>
    <n v="12"/>
    <s v="Dec"/>
    <n v="2022"/>
    <n v="3"/>
    <s v="40-49"/>
    <x v="2"/>
    <x v="4"/>
    <n v="259099.57410000003"/>
    <x v="1"/>
  </r>
  <r>
    <s v="EMP1418"/>
    <s v="Tanvi Malhotra"/>
    <x v="6"/>
    <x v="0"/>
    <s v="Executive"/>
    <x v="1"/>
    <n v="23"/>
    <s v="MCA"/>
    <s v="On Leave"/>
    <d v="2011-09-23T00:00:00"/>
    <n v="29.3"/>
    <n v="829439"/>
    <n v="0.2429"/>
    <n v="3"/>
    <x v="0"/>
    <n v="9376399126"/>
    <s v="tanvimalhotraat-company.com"/>
    <n v="65"/>
    <n v="107"/>
    <s v="EMP1088"/>
    <s v="Invalid"/>
    <n v="9"/>
    <s v="Sep"/>
    <n v="2011"/>
    <n v="14"/>
    <s v="20-29"/>
    <x v="1"/>
    <x v="2"/>
    <n v="201470.73310000001"/>
    <x v="1"/>
  </r>
  <r>
    <s v="EMP1078"/>
    <s v="Yash Chopra"/>
    <x v="0"/>
    <x v="4"/>
    <s v="Senior Manager"/>
    <x v="0"/>
    <n v="43"/>
    <s v="M.Tech"/>
    <s v="Active"/>
    <d v="2022-08-16T00:00:00"/>
    <n v="10.1"/>
    <n v="1963893"/>
    <n v="0.193"/>
    <n v="4"/>
    <x v="0"/>
    <n v="7797737957"/>
    <s v="yashchopraat-company.com"/>
    <n v="31"/>
    <n v="10"/>
    <s v="EMP1035"/>
    <s v="Invalid"/>
    <n v="8"/>
    <s v="Aug"/>
    <n v="2022"/>
    <n v="3"/>
    <s v="40-49"/>
    <x v="0"/>
    <x v="0"/>
    <n v="379031.34899999999"/>
    <x v="1"/>
  </r>
  <r>
    <s v="EMP1114"/>
    <s v="Priya Agarwal"/>
    <x v="2"/>
    <x v="0"/>
    <s v="Analyst"/>
    <x v="0"/>
    <n v="36"/>
    <s v="CA"/>
    <s v="Active"/>
    <d v="2024-07-28T00:00:00"/>
    <n v="21.4"/>
    <n v="1581190"/>
    <n v="2.5600000000000001E-2"/>
    <n v="5"/>
    <x v="1"/>
    <n v="9908535332"/>
    <s v="priyaagarwal@company.com"/>
    <n v="47"/>
    <n v="76"/>
    <s v="EMP1078"/>
    <s v="Valid"/>
    <n v="7"/>
    <s v="Jul"/>
    <n v="2024"/>
    <n v="1"/>
    <s v="30-39"/>
    <x v="0"/>
    <x v="1"/>
    <n v="40478.464"/>
    <x v="1"/>
  </r>
  <r>
    <s v="EMP1159"/>
    <s v="Nikhil Bose"/>
    <x v="5"/>
    <x v="0"/>
    <s v="Analyst"/>
    <x v="1"/>
    <n v="50"/>
    <s v="Diploma"/>
    <s v="Active"/>
    <d v="2018-07-24T00:00:00"/>
    <n v="13.9"/>
    <n v="1404566"/>
    <n v="0.24179999999999999"/>
    <n v="1"/>
    <x v="1"/>
    <n v="9663727197"/>
    <s v="nikhilbose@companycom"/>
    <n v="24"/>
    <n v="63"/>
    <s v="EMP1099"/>
    <s v="Invalid"/>
    <n v="7"/>
    <s v="Jul"/>
    <n v="2018"/>
    <n v="7"/>
    <s v="50+"/>
    <x v="2"/>
    <x v="4"/>
    <n v="339624.0588"/>
    <x v="1"/>
  </r>
  <r>
    <s v="EMP1184"/>
    <s v="Nitin Chatterjee"/>
    <x v="6"/>
    <x v="1"/>
    <s v="Intern"/>
    <x v="0"/>
    <n v="47"/>
    <s v="Diploma"/>
    <s v="Active"/>
    <d v="2018-08-13T00:00:00"/>
    <n v="19.7"/>
    <n v="748712"/>
    <n v="5.21E-2"/>
    <n v="4"/>
    <x v="0"/>
    <n v="7682986933"/>
    <s v="nitinchatterjee@company.com"/>
    <n v="55"/>
    <n v="55"/>
    <s v="EMP1073"/>
    <s v="Valid"/>
    <n v="8"/>
    <s v="Aug"/>
    <n v="2018"/>
    <n v="7"/>
    <s v="40-49"/>
    <x v="1"/>
    <x v="0"/>
    <n v="39007.895199999999"/>
    <x v="1"/>
  </r>
  <r>
    <s v="EMP1356"/>
    <s v="Piyush Singh"/>
    <x v="1"/>
    <x v="1"/>
    <s v="Associate"/>
    <x v="1"/>
    <n v="41"/>
    <s v="M.Tech"/>
    <s v="Contract"/>
    <d v="2015-12-18T00:00:00"/>
    <n v="7.7"/>
    <n v="1527603"/>
    <n v="3.4300000000000004E-2"/>
    <n v="1"/>
    <x v="0"/>
    <n v="9670918974"/>
    <s v="piyushsinghat-company.com"/>
    <n v="29"/>
    <n v="70"/>
    <s v="EMP1027"/>
    <s v="Invalid"/>
    <n v="12"/>
    <s v="Dec"/>
    <n v="2015"/>
    <n v="10"/>
    <s v="40-49"/>
    <x v="0"/>
    <x v="4"/>
    <n v="52396.782900000006"/>
    <x v="2"/>
  </r>
  <r>
    <s v="EMP1101"/>
    <s v="Shruti Nair"/>
    <x v="2"/>
    <x v="1"/>
    <s v="Consultant"/>
    <x v="1"/>
    <n v="43"/>
    <s v="B.Com"/>
    <s v="Active"/>
    <d v="2021-07-16T00:00:00"/>
    <n v="27.8"/>
    <n v="2233552"/>
    <n v="0.1618"/>
    <n v="3"/>
    <x v="1"/>
    <n v="8181037719"/>
    <s v="shrutinairat-company.com"/>
    <n v="70"/>
    <n v="11"/>
    <s v="EMP1036"/>
    <s v="Invalid"/>
    <n v="7"/>
    <s v="Jul"/>
    <n v="2021"/>
    <n v="4"/>
    <s v="40-49"/>
    <x v="4"/>
    <x v="2"/>
    <n v="361388.71360000002"/>
    <x v="1"/>
  </r>
  <r>
    <s v="EMP1044"/>
    <s v="Deepak Bhat"/>
    <x v="5"/>
    <x v="3"/>
    <s v="Analyst"/>
    <x v="1"/>
    <n v="38"/>
    <s v="MBA"/>
    <s v="Active"/>
    <d v="2022-11-16T00:00:00"/>
    <n v="19.8"/>
    <n v="941182"/>
    <n v="0.24660000000000001"/>
    <n v="5"/>
    <x v="1"/>
    <n v="9925445989"/>
    <s v="deepakbhat@company.com"/>
    <n v="80"/>
    <n v="56"/>
    <s v="EMP1009"/>
    <s v="Valid"/>
    <n v="11"/>
    <s v="Nov"/>
    <n v="2022"/>
    <n v="3"/>
    <s v="30-39"/>
    <x v="1"/>
    <x v="1"/>
    <n v="232095.48120000001"/>
    <x v="1"/>
  </r>
  <r>
    <s v="EMP1327"/>
    <s v="Desai, Varsha"/>
    <x v="0"/>
    <x v="5"/>
    <s v="Senior Analyst"/>
    <x v="0"/>
    <n v="41"/>
    <s v="BBA"/>
    <s v="Terminated"/>
    <d v="2010-01-01T00:00:00"/>
    <n v="0.6"/>
    <n v="2039447"/>
    <n v="0.2482"/>
    <n v="3"/>
    <x v="0"/>
    <n v="9576747064"/>
    <s v="desai,varshaat-company.com"/>
    <n v="50"/>
    <n v="82"/>
    <s v="EMP1051"/>
    <s v="Invalid"/>
    <n v="1"/>
    <s v="Jan"/>
    <n v="2010"/>
    <n v="16"/>
    <s v="40-49"/>
    <x v="4"/>
    <x v="2"/>
    <n v="506190.74540000001"/>
    <x v="3"/>
  </r>
  <r>
    <s v="EMP1425"/>
    <s v="Varsha Banerjee"/>
    <x v="5"/>
    <x v="1"/>
    <s v="Senior Manager"/>
    <x v="1"/>
    <n v="53"/>
    <s v="B.Sc"/>
    <s v="On Leave"/>
    <d v="2015-08-12T00:00:00"/>
    <n v="25.8"/>
    <n v="1905144"/>
    <n v="0.1401"/>
    <n v="3"/>
    <x v="1"/>
    <n v="7815140795"/>
    <s v="varshabanerjee@company.com"/>
    <n v="68"/>
    <n v="79"/>
    <s v="EMP1090"/>
    <s v="Valid"/>
    <n v="8"/>
    <s v="Aug"/>
    <n v="2015"/>
    <n v="10"/>
    <s v="50+"/>
    <x v="0"/>
    <x v="2"/>
    <n v="266910.67440000002"/>
    <x v="1"/>
  </r>
  <r>
    <s v="EMP1450"/>
    <s v="Tejas Bhat"/>
    <x v="6"/>
    <x v="3"/>
    <s v="Senior Manager"/>
    <x v="1"/>
    <n v="26"/>
    <s v="CA"/>
    <s v="On Leave"/>
    <d v="2017-05-25T00:00:00"/>
    <n v="22.4"/>
    <n v="1638251"/>
    <n v="0.1024"/>
    <n v="4"/>
    <x v="1"/>
    <n v="7979731971"/>
    <s v="tejasbhat@company.com"/>
    <n v="41"/>
    <n v="108"/>
    <s v="EMP1052"/>
    <s v="Valid"/>
    <n v="5"/>
    <s v="May"/>
    <n v="2017"/>
    <n v="8"/>
    <s v="20-29"/>
    <x v="0"/>
    <x v="0"/>
    <n v="167756.90240000002"/>
    <x v="1"/>
  </r>
  <r>
    <s v="EMP1489"/>
    <s v="Meera Banerjee"/>
    <x v="2"/>
    <x v="0"/>
    <s v="Senior Analyst"/>
    <x v="1"/>
    <n v="31"/>
    <s v="M.Tech"/>
    <s v="Contract"/>
    <d v="2015-05-03T00:00:00"/>
    <n v="22.4"/>
    <n v="2421662"/>
    <n v="0.20379999999999998"/>
    <n v="5"/>
    <x v="1"/>
    <n v="8348435054"/>
    <s v="meerabanerjee@company.com"/>
    <n v="60"/>
    <n v="42"/>
    <s v="EMP1048"/>
    <s v="Valid"/>
    <n v="5"/>
    <s v="May"/>
    <n v="2015"/>
    <n v="10"/>
    <s v="30-39"/>
    <x v="4"/>
    <x v="1"/>
    <n v="493534.71559999994"/>
    <x v="1"/>
  </r>
  <r>
    <s v="EMP1067"/>
    <s v="Swati Shah"/>
    <x v="2"/>
    <x v="0"/>
    <s v="Executive"/>
    <x v="0"/>
    <n v="29"/>
    <s v="B.Sc"/>
    <s v="Terminated"/>
    <d v="2017-03-15T00:00:00"/>
    <n v="7"/>
    <n v="1537477"/>
    <n v="0.1905"/>
    <n v="5"/>
    <x v="0"/>
    <n v="9022191192"/>
    <s v="swatishah@company.com"/>
    <n v="76"/>
    <n v="10"/>
    <s v="EMP1068"/>
    <s v="Valid"/>
    <n v="3"/>
    <s v="Mar"/>
    <n v="2017"/>
    <n v="9"/>
    <s v="20-29"/>
    <x v="0"/>
    <x v="1"/>
    <n v="292889.36849999998"/>
    <x v="2"/>
  </r>
  <r>
    <s v="EMP1210"/>
    <s v="Smita Gupta"/>
    <x v="2"/>
    <x v="3"/>
    <s v="Director"/>
    <x v="0"/>
    <n v="45"/>
    <s v="B.Com"/>
    <s v="On Leave"/>
    <d v="2023-09-03T00:00:00"/>
    <n v="10.9"/>
    <n v="351131"/>
    <n v="0.106"/>
    <n v="4"/>
    <x v="0"/>
    <n v="8900541784"/>
    <s v="smitagupta@company.com"/>
    <n v="17"/>
    <n v="76"/>
    <s v="EMP1012"/>
    <s v="Valid"/>
    <n v="9"/>
    <s v="Sep"/>
    <n v="2023"/>
    <n v="2"/>
    <s v="40-49"/>
    <x v="3"/>
    <x v="0"/>
    <n v="37219.885999999999"/>
    <x v="1"/>
  </r>
  <r>
    <s v="EMP1232"/>
    <s v="Sneha Verma"/>
    <x v="0"/>
    <x v="3"/>
    <s v="Consultant"/>
    <x v="0"/>
    <n v="54"/>
    <s v="B.Tech"/>
    <s v="Terminated"/>
    <d v="2024-09-02T00:00:00"/>
    <n v="20.3"/>
    <n v="1568807"/>
    <n v="0.17760000000000001"/>
    <n v="5"/>
    <x v="1"/>
    <n v="8456752978"/>
    <s v="snehaverma@company.com"/>
    <n v="33"/>
    <n v="5"/>
    <s v="EMP1017"/>
    <s v="Valid"/>
    <n v="9"/>
    <s v="Sep"/>
    <n v="2024"/>
    <n v="1"/>
    <s v="50+"/>
    <x v="0"/>
    <x v="1"/>
    <n v="278620.12320000003"/>
    <x v="1"/>
  </r>
  <r>
    <s v="EMP1257"/>
    <s v="Priya Saxena"/>
    <x v="0"/>
    <x v="1"/>
    <s v="Senior Manager"/>
    <x v="0"/>
    <n v="53"/>
    <s v="M.Tech"/>
    <s v="Inactive"/>
    <d v="2013-01-07T00:00:00"/>
    <n v="27.2"/>
    <n v="454333"/>
    <n v="0.16500000000000001"/>
    <n v="3"/>
    <x v="1"/>
    <n v="9444275463"/>
    <s v="priyasaxena@company.com"/>
    <n v="77"/>
    <n v="8"/>
    <s v="EMP1076"/>
    <s v="Valid"/>
    <n v="1"/>
    <s v="Jan"/>
    <n v="2013"/>
    <n v="13"/>
    <s v="50+"/>
    <x v="3"/>
    <x v="2"/>
    <n v="74964.945000000007"/>
    <x v="1"/>
  </r>
  <r>
    <s v="EMP1040"/>
    <s v="Ankit Iyer"/>
    <x v="3"/>
    <x v="4"/>
    <s v="Consultant"/>
    <x v="1"/>
    <n v="44"/>
    <s v="M.Tech"/>
    <s v="Active"/>
    <d v="2016-09-25T00:00:00"/>
    <n v="8.6999999999999993"/>
    <n v="1841662"/>
    <n v="6.6900000000000001E-2"/>
    <n v="5"/>
    <x v="0"/>
    <n v="7112759345"/>
    <s v="ankitiyer@company.com"/>
    <n v="39"/>
    <n v="44"/>
    <s v="EMP1001"/>
    <s v="Valid"/>
    <n v="9"/>
    <s v="Sep"/>
    <n v="2016"/>
    <n v="9"/>
    <s v="40-49"/>
    <x v="0"/>
    <x v="1"/>
    <n v="123207.1878"/>
    <x v="2"/>
  </r>
  <r>
    <s v="EMP1265"/>
    <s v="Kavya Bhat"/>
    <x v="3"/>
    <x v="0"/>
    <s v="VP"/>
    <x v="1"/>
    <n v="37"/>
    <s v="MCA"/>
    <s v="On Leave"/>
    <d v="2013-01-21T00:00:00"/>
    <n v="9.1999999999999993"/>
    <n v="1093151"/>
    <n v="0.19769999999999999"/>
    <n v="3"/>
    <x v="1"/>
    <n v="9100198814"/>
    <s v="kavyabhat@company.com"/>
    <n v="21"/>
    <n v="96"/>
    <s v="EMP1083"/>
    <s v="Valid"/>
    <n v="1"/>
    <s v="Jan"/>
    <n v="2013"/>
    <n v="13"/>
    <s v="30-39"/>
    <x v="2"/>
    <x v="2"/>
    <n v="216115.95269999999"/>
    <x v="2"/>
  </r>
  <r>
    <s v="EMP1276"/>
    <s v="Rohit Shah"/>
    <x v="4"/>
    <x v="1"/>
    <s v="Manager"/>
    <x v="0"/>
    <n v="36"/>
    <s v="M.Tech"/>
    <s v="Contract"/>
    <d v="2013-07-10T00:00:00"/>
    <n v="11.4"/>
    <n v="1467935"/>
    <n v="0.23980000000000001"/>
    <n v="4"/>
    <x v="1"/>
    <n v="9302882127"/>
    <s v="rohitshahat-company.com"/>
    <n v="80"/>
    <n v="86"/>
    <s v="EMP1099"/>
    <s v="Invalid"/>
    <n v="7"/>
    <s v="Jul"/>
    <n v="2013"/>
    <n v="12"/>
    <s v="30-39"/>
    <x v="2"/>
    <x v="0"/>
    <n v="352010.81300000002"/>
    <x v="1"/>
  </r>
  <r>
    <s v="EMP1162"/>
    <s v="Geeta Bose"/>
    <x v="2"/>
    <x v="4"/>
    <s v="Analyst"/>
    <x v="0"/>
    <n v="32"/>
    <s v="Diploma"/>
    <s v="On Leave"/>
    <d v="2015-06-14T00:00:00"/>
    <n v="27.1"/>
    <n v="2158127"/>
    <n v="0.19140000000000001"/>
    <n v="3"/>
    <x v="1"/>
    <n v="9613115539"/>
    <s v="geetabose@company.com"/>
    <n v="32"/>
    <n v="57"/>
    <s v="EMP1058"/>
    <s v="Valid"/>
    <n v="6"/>
    <s v="Jun"/>
    <n v="2015"/>
    <n v="10"/>
    <s v="30-39"/>
    <x v="4"/>
    <x v="2"/>
    <n v="413065.50780000002"/>
    <x v="1"/>
  </r>
  <r>
    <s v="EMP1389"/>
    <s v="Preeti Patel"/>
    <x v="0"/>
    <x v="4"/>
    <s v="Executive"/>
    <x v="0"/>
    <n v="24"/>
    <s v="B.Sc"/>
    <s v="Contract"/>
    <d v="2011-08-26T00:00:00"/>
    <n v="12.2"/>
    <n v="2068892"/>
    <n v="9.6000000000000002E-2"/>
    <n v="2"/>
    <x v="0"/>
    <n v="7052503784"/>
    <s v="preetipatelat-company.com"/>
    <n v="62"/>
    <n v="85"/>
    <s v="EMP1052"/>
    <s v="Invalid"/>
    <n v="8"/>
    <s v="Aug"/>
    <n v="2011"/>
    <n v="14"/>
    <s v="20-29"/>
    <x v="4"/>
    <x v="3"/>
    <n v="198613.63200000001"/>
    <x v="1"/>
  </r>
  <r>
    <s v="EMP1308"/>
    <s v="Archana Bhat"/>
    <x v="0"/>
    <x v="3"/>
    <s v="Executive"/>
    <x v="1"/>
    <n v="44"/>
    <s v="B.Tech"/>
    <s v="Active"/>
    <d v="2023-10-04T00:00:00"/>
    <n v="29.2"/>
    <n v="1473104"/>
    <n v="0.1105"/>
    <n v="3"/>
    <x v="1"/>
    <n v="9689635834"/>
    <s v="archanabhat@companycom"/>
    <n v="26"/>
    <n v="103"/>
    <s v="EMP1097"/>
    <s v="Invalid"/>
    <n v="10"/>
    <s v="Oct"/>
    <n v="2023"/>
    <n v="2"/>
    <s v="40-49"/>
    <x v="2"/>
    <x v="2"/>
    <n v="162777.992"/>
    <x v="1"/>
  </r>
  <r>
    <s v="EMP1164"/>
    <s v="Ritu Chopra"/>
    <x v="1"/>
    <x v="4"/>
    <s v="Associate"/>
    <x v="1"/>
    <n v="24"/>
    <s v="CA"/>
    <s v="Terminated"/>
    <d v="2015-07-14T00:00:00"/>
    <n v="2.1"/>
    <n v="1900320"/>
    <n v="0.158"/>
    <n v="2"/>
    <x v="1"/>
    <n v="9803665224"/>
    <s v="rituchopra@companycom"/>
    <n v="67"/>
    <n v="69"/>
    <s v="EMP1073"/>
    <s v="Invalid"/>
    <n v="7"/>
    <s v="Jul"/>
    <n v="2015"/>
    <n v="10"/>
    <s v="20-29"/>
    <x v="0"/>
    <x v="3"/>
    <n v="300250.56"/>
    <x v="0"/>
  </r>
  <r>
    <s v="EMP1469"/>
    <s v="Arun Verma"/>
    <x v="2"/>
    <x v="3"/>
    <s v="Analyst"/>
    <x v="1"/>
    <n v="53"/>
    <s v="M.Tech"/>
    <s v="Contract"/>
    <d v="2022-07-02T00:00:00"/>
    <n v="24.3"/>
    <n v="1924469"/>
    <n v="0.23699999999999999"/>
    <n v="4"/>
    <x v="1"/>
    <n v="9118926603"/>
    <s v="arunverma@company.com"/>
    <n v="21"/>
    <n v="94"/>
    <s v="EMP1078"/>
    <s v="Valid"/>
    <n v="7"/>
    <s v="Jul"/>
    <n v="2022"/>
    <n v="3"/>
    <s v="50+"/>
    <x v="0"/>
    <x v="0"/>
    <n v="456099.15299999999"/>
    <x v="1"/>
  </r>
  <r>
    <s v="EMP1174"/>
    <s v="Anjali Nair"/>
    <x v="6"/>
    <x v="5"/>
    <s v="Analyst"/>
    <x v="1"/>
    <n v="50"/>
    <s v="MBA"/>
    <s v="Active"/>
    <d v="2018-10-06T00:00:00"/>
    <n v="11.8"/>
    <n v="657801"/>
    <n v="4.0500000000000001E-2"/>
    <n v="3"/>
    <x v="1"/>
    <n v="8439643578"/>
    <s v="anjalinairat-company.com"/>
    <n v="6"/>
    <n v="39"/>
    <s v="EMP1094"/>
    <s v="Invalid"/>
    <n v="10"/>
    <s v="Oct"/>
    <n v="2018"/>
    <n v="7"/>
    <s v="50+"/>
    <x v="1"/>
    <x v="2"/>
    <n v="26640.940500000001"/>
    <x v="1"/>
  </r>
  <r>
    <s v="EMP1377"/>
    <s v="Nisha Sinha"/>
    <x v="2"/>
    <x v="4"/>
    <s v="Lead"/>
    <x v="1"/>
    <n v="48"/>
    <s v="B.Tech"/>
    <s v="On Leave"/>
    <d v="2013-04-23T00:00:00"/>
    <n v="29.3"/>
    <n v="2273392"/>
    <n v="0.15909999999999999"/>
    <n v="4"/>
    <x v="0"/>
    <n v="9684237577"/>
    <s v="nishasinha@companycom"/>
    <n v="44"/>
    <n v="118"/>
    <s v="EMP1025"/>
    <s v="Invalid"/>
    <n v="4"/>
    <s v="Apr"/>
    <n v="2013"/>
    <n v="12"/>
    <s v="40-49"/>
    <x v="4"/>
    <x v="0"/>
    <n v="361696.66719999997"/>
    <x v="1"/>
  </r>
  <r>
    <s v="EMP1432"/>
    <s v="Kavya Pandey"/>
    <x v="1"/>
    <x v="2"/>
    <s v="Analyst"/>
    <x v="0"/>
    <n v="24"/>
    <s v="PhD"/>
    <s v="Active"/>
    <d v="2015-11-06T00:00:00"/>
    <n v="9.6999999999999993"/>
    <n v="804503"/>
    <n v="0.23449999999999999"/>
    <n v="3"/>
    <x v="1"/>
    <n v="7829614584"/>
    <s v="kavyapandey@companycom"/>
    <n v="70"/>
    <n v="100"/>
    <s v="EMP1058"/>
    <s v="Invalid"/>
    <n v="11"/>
    <s v="Nov"/>
    <n v="2015"/>
    <n v="10"/>
    <s v="20-29"/>
    <x v="1"/>
    <x v="2"/>
    <n v="188655.9535"/>
    <x v="2"/>
  </r>
  <r>
    <s v="EMP1023"/>
    <s v="Yash Joshi"/>
    <x v="3"/>
    <x v="2"/>
    <s v="Intern"/>
    <x v="0"/>
    <n v="40"/>
    <s v="MBA"/>
    <s v="Inactive"/>
    <d v="2010-01-18T00:00:00"/>
    <n v="21.4"/>
    <n v="1052632"/>
    <n v="0.1197"/>
    <n v="3"/>
    <x v="1"/>
    <n v="7440610570"/>
    <s v="yashjoshi@companycom"/>
    <n v="6"/>
    <n v="110"/>
    <s v="EMP1062"/>
    <s v="Invalid"/>
    <n v="1"/>
    <s v="Jan"/>
    <n v="2010"/>
    <n v="16"/>
    <s v="40-49"/>
    <x v="2"/>
    <x v="2"/>
    <n v="126000.05040000001"/>
    <x v="1"/>
  </r>
  <r>
    <s v="EMP1360"/>
    <s v="Komal Pillai"/>
    <x v="2"/>
    <x v="1"/>
    <s v="Executive"/>
    <x v="0"/>
    <n v="36"/>
    <s v="PhD"/>
    <s v="Active"/>
    <d v="2020-01-06T00:00:00"/>
    <n v="19.899999999999999"/>
    <n v="916150"/>
    <n v="0.248"/>
    <n v="4"/>
    <x v="0"/>
    <n v="9376868089"/>
    <s v="komalpillai@company.com"/>
    <n v="2"/>
    <n v="109"/>
    <s v="EMP1046"/>
    <s v="Valid"/>
    <n v="1"/>
    <s v="Jan"/>
    <n v="2020"/>
    <n v="6"/>
    <s v="30-39"/>
    <x v="1"/>
    <x v="0"/>
    <n v="227205.2"/>
    <x v="1"/>
  </r>
  <r>
    <s v="EMP1487"/>
    <s v="Tejas Sinha"/>
    <x v="3"/>
    <x v="0"/>
    <s v="Senior Analyst"/>
    <x v="0"/>
    <n v="22"/>
    <s v="B.Tech"/>
    <s v="Terminated"/>
    <d v="2024-03-14T00:00:00"/>
    <n v="6.2"/>
    <n v="1115764"/>
    <n v="6.6400000000000001E-2"/>
    <n v="5"/>
    <x v="1"/>
    <n v="7002435157"/>
    <s v="tejassinha@company.com"/>
    <n v="8"/>
    <n v="117"/>
    <s v="EMP1022"/>
    <s v="Valid"/>
    <n v="3"/>
    <s v="Mar"/>
    <n v="2024"/>
    <n v="2"/>
    <s v="20-29"/>
    <x v="2"/>
    <x v="1"/>
    <n v="74086.729600000006"/>
    <x v="2"/>
  </r>
  <r>
    <s v="EMP1135"/>
    <s v="Nitin Kumar"/>
    <x v="1"/>
    <x v="4"/>
    <s v="Analyst"/>
    <x v="0"/>
    <n v="34"/>
    <s v="M.Tech"/>
    <s v="Terminated"/>
    <d v="2017-11-18T00:00:00"/>
    <n v="28"/>
    <n v="528121"/>
    <n v="0.1678"/>
    <n v="2"/>
    <x v="1"/>
    <n v="9493639344"/>
    <s v="nitinkumar@companycom"/>
    <n v="36"/>
    <n v="115"/>
    <s v="EMP1025"/>
    <s v="Invalid"/>
    <n v="11"/>
    <s v="Nov"/>
    <n v="2017"/>
    <n v="8"/>
    <s v="30-39"/>
    <x v="1"/>
    <x v="3"/>
    <n v="88618.703800000003"/>
    <x v="1"/>
  </r>
  <r>
    <s v="EMP1093"/>
    <s v="Nikhil Pandey"/>
    <x v="2"/>
    <x v="5"/>
    <s v="Consultant"/>
    <x v="0"/>
    <n v="47"/>
    <s v="M.Tech"/>
    <s v="Inactive"/>
    <d v="2016-02-08T00:00:00"/>
    <n v="23.9"/>
    <n v="528879"/>
    <n v="0.2097"/>
    <n v="5"/>
    <x v="0"/>
    <n v="8550904983"/>
    <s v="nikhilpandey@company.com"/>
    <n v="69"/>
    <n v="97"/>
    <s v="EMP1061"/>
    <s v="Valid"/>
    <n v="2"/>
    <s v="Feb"/>
    <n v="2016"/>
    <n v="10"/>
    <s v="40-49"/>
    <x v="1"/>
    <x v="1"/>
    <n v="110905.92629999999"/>
    <x v="1"/>
  </r>
  <r>
    <s v="EMP1249"/>
    <s v="Archana Bose"/>
    <x v="5"/>
    <x v="0"/>
    <s v="Senior Manager"/>
    <x v="1"/>
    <n v="24"/>
    <s v="PhD"/>
    <s v="Contract"/>
    <d v="2011-02-12T00:00:00"/>
    <n v="4"/>
    <n v="1849090"/>
    <n v="0.1215"/>
    <n v="1"/>
    <x v="1"/>
    <n v="8595440130"/>
    <s v="archanabose@company.com"/>
    <n v="18"/>
    <n v="53"/>
    <s v="EMP1007"/>
    <s v="Valid"/>
    <n v="2"/>
    <s v="Feb"/>
    <n v="2011"/>
    <n v="15"/>
    <s v="20-29"/>
    <x v="0"/>
    <x v="4"/>
    <n v="224664.435"/>
    <x v="0"/>
  </r>
  <r>
    <s v="EMP1287"/>
    <s v="Rohit Kulkarni"/>
    <x v="0"/>
    <x v="0"/>
    <s v="Executive"/>
    <x v="1"/>
    <n v="29"/>
    <s v="BBA"/>
    <s v="Contract"/>
    <d v="2024-10-25T00:00:00"/>
    <n v="20.9"/>
    <n v="2363424"/>
    <n v="0.10920000000000001"/>
    <n v="2"/>
    <x v="0"/>
    <n v="8639176435"/>
    <s v="rohitkulkarni@company.com"/>
    <n v="33"/>
    <n v="11"/>
    <s v="EMP1015"/>
    <s v="Valid"/>
    <n v="10"/>
    <s v="Oct"/>
    <n v="2024"/>
    <n v="1"/>
    <s v="20-29"/>
    <x v="4"/>
    <x v="3"/>
    <n v="258085.9008"/>
    <x v="1"/>
  </r>
  <r>
    <s v="EMP1004"/>
    <s v="Varsha Menon"/>
    <x v="0"/>
    <x v="1"/>
    <s v="Analyst"/>
    <x v="1"/>
    <n v="29"/>
    <s v="MBA"/>
    <s v="Active"/>
    <d v="2016-10-15T00:00:00"/>
    <n v="13"/>
    <n v="971013"/>
    <n v="0.18770000000000001"/>
    <n v="4"/>
    <x v="0"/>
    <n v="9921794983"/>
    <s v="varshamenon@company.com"/>
    <n v="43"/>
    <n v="55"/>
    <s v="EMP1021"/>
    <s v="Valid"/>
    <n v="10"/>
    <s v="Oct"/>
    <n v="2016"/>
    <n v="9"/>
    <s v="20-29"/>
    <x v="1"/>
    <x v="0"/>
    <n v="182259.14010000002"/>
    <x v="1"/>
  </r>
  <r>
    <s v="EMP1201"/>
    <s v="Deepak Chopra"/>
    <x v="6"/>
    <x v="4"/>
    <s v="Director"/>
    <x v="1"/>
    <n v="48"/>
    <s v="MBA"/>
    <s v="Inactive"/>
    <d v="2010-07-05T00:00:00"/>
    <n v="2.7"/>
    <n v="1875096"/>
    <n v="8.9600000000000013E-2"/>
    <n v="5"/>
    <x v="0"/>
    <n v="8604106208"/>
    <s v="deepakchopra@companycom"/>
    <n v="42"/>
    <n v="88"/>
    <s v="EMP1073"/>
    <s v="Invalid"/>
    <n v="7"/>
    <s v="Jul"/>
    <n v="2010"/>
    <n v="15"/>
    <s v="40-49"/>
    <x v="0"/>
    <x v="1"/>
    <n v="168008.60160000002"/>
    <x v="0"/>
  </r>
  <r>
    <s v="EMP1132"/>
    <s v="Vishal Chopra"/>
    <x v="5"/>
    <x v="5"/>
    <s v="Director"/>
    <x v="1"/>
    <n v="40"/>
    <s v="PhD"/>
    <s v="Active"/>
    <d v="2022-09-18T00:00:00"/>
    <n v="2.9"/>
    <n v="1107455"/>
    <n v="0.2072"/>
    <n v="4"/>
    <x v="1"/>
    <n v="9943792834"/>
    <s v="vishalchopraat-company.com"/>
    <n v="55"/>
    <n v="120"/>
    <s v="EMP1010"/>
    <s v="Invalid"/>
    <n v="9"/>
    <s v="Sep"/>
    <n v="2022"/>
    <n v="3"/>
    <s v="40-49"/>
    <x v="2"/>
    <x v="0"/>
    <n v="229464.67600000001"/>
    <x v="0"/>
  </r>
  <r>
    <s v="EMP1328"/>
    <s v="Hemant Kulkarni"/>
    <x v="6"/>
    <x v="4"/>
    <s v="VP"/>
    <x v="1"/>
    <n v="49"/>
    <s v="Diploma"/>
    <s v="Active"/>
    <d v="2023-11-09T00:00:00"/>
    <n v="19.100000000000001"/>
    <n v="829867"/>
    <n v="6.9999999999999993E-3"/>
    <n v="3"/>
    <x v="1"/>
    <n v="7400524723"/>
    <s v="hemantkulkarni@company.com"/>
    <n v="10"/>
    <n v="3"/>
    <s v="EMP1096"/>
    <s v="Valid"/>
    <n v="11"/>
    <s v="Nov"/>
    <n v="2023"/>
    <n v="2"/>
    <s v="40-49"/>
    <x v="1"/>
    <x v="2"/>
    <n v="5809.0689999999995"/>
    <x v="1"/>
  </r>
  <r>
    <s v="EMP1046"/>
    <s v="Nisha Kapoor"/>
    <x v="2"/>
    <x v="1"/>
    <s v="Senior Consultant"/>
    <x v="1"/>
    <n v="45"/>
    <s v="PhD"/>
    <s v="Active"/>
    <d v="2010-11-21T00:00:00"/>
    <n v="23.3"/>
    <n v="1486541"/>
    <n v="0.1507"/>
    <n v="3"/>
    <x v="0"/>
    <n v="8220401982"/>
    <s v="nishakapoor@company.com"/>
    <n v="10"/>
    <n v="18"/>
    <s v="EMP1045"/>
    <s v="Valid"/>
    <n v="11"/>
    <s v="Nov"/>
    <n v="2010"/>
    <n v="15"/>
    <s v="40-49"/>
    <x v="2"/>
    <x v="2"/>
    <n v="224021.72870000001"/>
    <x v="1"/>
  </r>
  <r>
    <s v="EMP1045"/>
    <s v="Mayur Iyer"/>
    <x v="0"/>
    <x v="0"/>
    <s v="Senior Manager"/>
    <x v="0"/>
    <n v="24"/>
    <s v="PhD"/>
    <s v="Contract"/>
    <d v="2019-10-17T00:00:00"/>
    <n v="26"/>
    <n v="1504088"/>
    <n v="8.0399999999999985E-2"/>
    <n v="5"/>
    <x v="0"/>
    <n v="8931591531"/>
    <s v="mayuriyer@company.com"/>
    <n v="19"/>
    <n v="57"/>
    <s v="EMP1014"/>
    <s v="Valid"/>
    <n v="10"/>
    <s v="Oct"/>
    <n v="2019"/>
    <n v="6"/>
    <s v="20-29"/>
    <x v="0"/>
    <x v="1"/>
    <n v="120928.67519999998"/>
    <x v="1"/>
  </r>
  <r>
    <s v="EMP1183"/>
    <s v="Yash Kapoor"/>
    <x v="0"/>
    <x v="5"/>
    <s v="Senior Analyst"/>
    <x v="1"/>
    <n v="27"/>
    <s v="PhD"/>
    <s v="Active"/>
    <d v="2022-08-16T00:00:00"/>
    <n v="9.6999999999999993"/>
    <n v="2264091"/>
    <n v="0.2293"/>
    <n v="4"/>
    <x v="1"/>
    <n v="8108328175"/>
    <s v="yashkapoor@company.com"/>
    <n v="41"/>
    <n v="3"/>
    <s v="EMP1009"/>
    <s v="Valid"/>
    <n v="8"/>
    <s v="Aug"/>
    <n v="2022"/>
    <n v="3"/>
    <s v="20-29"/>
    <x v="4"/>
    <x v="0"/>
    <n v="519156.06630000001"/>
    <x v="2"/>
  </r>
  <r>
    <s v="EMP1110"/>
    <s v="Geeta Kulkarni"/>
    <x v="2"/>
    <x v="5"/>
    <s v="Intern"/>
    <x v="0"/>
    <n v="27"/>
    <s v="MCA"/>
    <s v="Active"/>
    <d v="2024-01-26T00:00:00"/>
    <n v="25.8"/>
    <n v="1966627"/>
    <n v="0.1457"/>
    <n v="5"/>
    <x v="0"/>
    <n v="7483264745"/>
    <s v="geetakulkarni@company.com"/>
    <n v="12"/>
    <n v="72"/>
    <s v="EMP1100"/>
    <s v="Valid"/>
    <n v="1"/>
    <s v="Jan"/>
    <n v="2024"/>
    <n v="2"/>
    <s v="20-29"/>
    <x v="0"/>
    <x v="1"/>
    <n v="286537.5539"/>
    <x v="1"/>
  </r>
  <r>
    <s v="EMP1306"/>
    <s v="Archana Singh"/>
    <x v="0"/>
    <x v="0"/>
    <s v="Lead"/>
    <x v="0"/>
    <n v="30"/>
    <s v="B.Com"/>
    <s v="Terminated"/>
    <d v="2016-08-22T00:00:00"/>
    <n v="21"/>
    <n v="554985"/>
    <n v="9.7599999999999992E-2"/>
    <n v="4"/>
    <x v="1"/>
    <n v="8880100222"/>
    <s v="archanasinghat-company.com"/>
    <n v="26"/>
    <n v="20"/>
    <s v="EMP1074"/>
    <s v="Invalid"/>
    <n v="8"/>
    <s v="Aug"/>
    <n v="2016"/>
    <n v="9"/>
    <s v="30-39"/>
    <x v="1"/>
    <x v="0"/>
    <n v="54166.535999999993"/>
    <x v="1"/>
  </r>
  <r>
    <s v="EMP1373"/>
    <s v="Anjali Patel"/>
    <x v="6"/>
    <x v="2"/>
    <s v="VP"/>
    <x v="0"/>
    <n v="28"/>
    <s v="B.Tech"/>
    <s v="Active"/>
    <d v="2015-07-17T00:00:00"/>
    <n v="18.399999999999999"/>
    <n v="1940492"/>
    <n v="9.4100000000000003E-2"/>
    <n v="5"/>
    <x v="1"/>
    <n v="7428118990"/>
    <s v="anjalipatel@companycom"/>
    <n v="28"/>
    <n v="71"/>
    <s v="EMP1036"/>
    <s v="Invalid"/>
    <n v="7"/>
    <s v="Jul"/>
    <n v="2015"/>
    <n v="10"/>
    <s v="20-29"/>
    <x v="0"/>
    <x v="1"/>
    <n v="182600.2972"/>
    <x v="1"/>
  </r>
  <r>
    <s v="EMP1388"/>
    <s v="Tanvi Kapoor"/>
    <x v="0"/>
    <x v="4"/>
    <s v="Director"/>
    <x v="0"/>
    <n v="40"/>
    <s v="B.Sc"/>
    <s v="On Leave"/>
    <d v="2020-12-19T00:00:00"/>
    <n v="16.3"/>
    <n v="2080869"/>
    <n v="9.9499999999999991E-2"/>
    <n v="4"/>
    <x v="1"/>
    <n v="9153736809"/>
    <s v="tanvikapoor@companycom"/>
    <n v="29"/>
    <n v="24"/>
    <s v="EMP1006"/>
    <s v="Invalid"/>
    <n v="12"/>
    <s v="Dec"/>
    <n v="2020"/>
    <n v="5"/>
    <s v="40-49"/>
    <x v="4"/>
    <x v="0"/>
    <n v="207046.46549999999"/>
    <x v="1"/>
  </r>
  <r>
    <s v="EMP1013"/>
    <s v="Piyush Kumar"/>
    <x v="2"/>
    <x v="5"/>
    <s v="Executive"/>
    <x v="1"/>
    <n v="56"/>
    <s v="Diploma"/>
    <s v="On Leave"/>
    <d v="2014-01-04T00:00:00"/>
    <n v="29.1"/>
    <n v="415765"/>
    <n v="0.22489999999999999"/>
    <n v="3"/>
    <x v="1"/>
    <n v="8874297457"/>
    <s v="piyushkumar@company.com"/>
    <n v="5"/>
    <n v="0"/>
    <s v="EMP1067"/>
    <s v="Valid"/>
    <n v="1"/>
    <s v="Jan"/>
    <n v="2014"/>
    <n v="12"/>
    <s v="50+"/>
    <x v="3"/>
    <x v="2"/>
    <n v="93505.54849999999"/>
    <x v="1"/>
  </r>
  <r>
    <s v="EMP1043"/>
    <s v="Priya Bose"/>
    <x v="4"/>
    <x v="0"/>
    <s v="Intern"/>
    <x v="0"/>
    <n v="29"/>
    <s v="B.Sc"/>
    <s v="Terminated"/>
    <d v="2021-06-03T00:00:00"/>
    <n v="28.5"/>
    <n v="1662176"/>
    <n v="0.1865"/>
    <n v="2"/>
    <x v="1"/>
    <n v="8719918855"/>
    <s v="priyabose@company.com"/>
    <n v="21"/>
    <n v="81"/>
    <s v="EMP1015"/>
    <s v="Valid"/>
    <n v="6"/>
    <s v="Jun"/>
    <n v="2021"/>
    <n v="4"/>
    <s v="20-29"/>
    <x v="0"/>
    <x v="3"/>
    <n v="309995.82400000002"/>
    <x v="1"/>
  </r>
  <r>
    <s v="EMP1475"/>
    <s v="Deepak Saxena"/>
    <x v="6"/>
    <x v="5"/>
    <s v="Senior Consultant"/>
    <x v="0"/>
    <n v="56"/>
    <s v="M.Tech"/>
    <s v="On Leave"/>
    <d v="2021-12-10T00:00:00"/>
    <n v="17.7"/>
    <n v="1157586"/>
    <n v="9.7899999999999987E-2"/>
    <n v="4"/>
    <x v="1"/>
    <n v="7786313297"/>
    <s v="deepaksaxena@companycom"/>
    <n v="72"/>
    <n v="43"/>
    <s v="EMP1019"/>
    <s v="Invalid"/>
    <n v="12"/>
    <s v="Dec"/>
    <n v="2021"/>
    <n v="4"/>
    <s v="50+"/>
    <x v="2"/>
    <x v="0"/>
    <n v="113327.66939999998"/>
    <x v="1"/>
  </r>
  <r>
    <s v="EMP1220"/>
    <s v="Pillai, Vishal"/>
    <x v="6"/>
    <x v="4"/>
    <s v="VP"/>
    <x v="1"/>
    <n v="42"/>
    <s v="B.Sc"/>
    <s v="Contract"/>
    <d v="2023-05-23T00:00:00"/>
    <n v="1.5"/>
    <n v="2156215"/>
    <n v="0.16500000000000001"/>
    <n v="3"/>
    <x v="0"/>
    <n v="9093602951"/>
    <s v="pillai,vishalat-company.com"/>
    <n v="73"/>
    <n v="71"/>
    <s v="EMP1021"/>
    <s v="Invalid"/>
    <n v="5"/>
    <s v="May"/>
    <n v="2023"/>
    <n v="2"/>
    <s v="40-49"/>
    <x v="4"/>
    <x v="2"/>
    <n v="355775.47500000003"/>
    <x v="3"/>
  </r>
  <r>
    <s v="EMP1445"/>
    <s v="Nisha Patel"/>
    <x v="2"/>
    <x v="3"/>
    <s v="Executive"/>
    <x v="0"/>
    <n v="34"/>
    <s v="B.Com"/>
    <s v="Active"/>
    <d v="2015-10-26T00:00:00"/>
    <n v="23.9"/>
    <n v="1645107"/>
    <n v="7.0099999999999996E-2"/>
    <n v="5"/>
    <x v="0"/>
    <n v="7726107845"/>
    <s v="nishapatel@companycom"/>
    <n v="3"/>
    <n v="115"/>
    <s v="EMP1022"/>
    <s v="Invalid"/>
    <n v="10"/>
    <s v="Oct"/>
    <n v="2015"/>
    <n v="10"/>
    <s v="30-39"/>
    <x v="0"/>
    <x v="1"/>
    <n v="115322.00069999999"/>
    <x v="1"/>
  </r>
  <r>
    <s v="EMP1466"/>
    <s v="Yash Bhat"/>
    <x v="6"/>
    <x v="0"/>
    <s v="Senior Manager"/>
    <x v="1"/>
    <n v="41"/>
    <s v="B.Com"/>
    <s v="Active"/>
    <d v="2023-04-01T00:00:00"/>
    <n v="6.7"/>
    <n v="2003390"/>
    <n v="8.9399999999999993E-2"/>
    <n v="2"/>
    <x v="1"/>
    <n v="7287856644"/>
    <s v="yashbhat@company.com"/>
    <n v="76"/>
    <n v="49"/>
    <s v="EMP1048"/>
    <s v="Valid"/>
    <n v="4"/>
    <s v="Apr"/>
    <n v="2023"/>
    <n v="2"/>
    <s v="40-49"/>
    <x v="4"/>
    <x v="3"/>
    <n v="179103.06599999999"/>
    <x v="2"/>
  </r>
  <r>
    <s v="EMP1424"/>
    <s v="Priya Tiwari"/>
    <x v="0"/>
    <x v="5"/>
    <s v="Manager"/>
    <x v="1"/>
    <n v="44"/>
    <s v="BBA"/>
    <s v="On Leave"/>
    <d v="2021-11-09T00:00:00"/>
    <n v="23.6"/>
    <n v="1343127"/>
    <n v="0.19519999999999998"/>
    <n v="3"/>
    <x v="0"/>
    <n v="9784371073"/>
    <s v="priyatiwariat-company.com"/>
    <n v="63"/>
    <n v="42"/>
    <s v="EMP1046"/>
    <s v="Invalid"/>
    <n v="11"/>
    <s v="Nov"/>
    <n v="2021"/>
    <n v="4"/>
    <s v="40-49"/>
    <x v="2"/>
    <x v="2"/>
    <n v="262178.39039999997"/>
    <x v="1"/>
  </r>
  <r>
    <s v="EMP1085"/>
    <s v="Ritu Kumar"/>
    <x v="6"/>
    <x v="4"/>
    <s v="Intern"/>
    <x v="1"/>
    <n v="45"/>
    <s v="Diploma"/>
    <s v="Active"/>
    <d v="2020-06-20T00:00:00"/>
    <n v="20.3"/>
    <n v="2219105"/>
    <n v="0.16839999999999999"/>
    <n v="3"/>
    <x v="1"/>
    <n v="8511763726"/>
    <s v="ritukumar@companycom"/>
    <n v="78"/>
    <n v="86"/>
    <s v="EMP1018"/>
    <s v="Invalid"/>
    <n v="6"/>
    <s v="Jun"/>
    <n v="2020"/>
    <n v="5"/>
    <s v="40-49"/>
    <x v="4"/>
    <x v="2"/>
    <n v="373697.28200000001"/>
    <x v="1"/>
  </r>
  <r>
    <s v="EMP1497"/>
    <s v="Pooja Pillai"/>
    <x v="0"/>
    <x v="4"/>
    <s v="Director"/>
    <x v="1"/>
    <n v="28"/>
    <s v="PhD"/>
    <s v="Active"/>
    <d v="2012-07-07T00:00:00"/>
    <n v="9.1"/>
    <n v="1382940"/>
    <n v="1.7100000000000001E-2"/>
    <n v="3"/>
    <x v="1"/>
    <n v="8329259824"/>
    <s v="poojapillai@company.com"/>
    <n v="15"/>
    <n v="0"/>
    <s v="EMP1031"/>
    <s v="Valid"/>
    <n v="7"/>
    <s v="Jul"/>
    <n v="2012"/>
    <n v="13"/>
    <s v="20-29"/>
    <x v="2"/>
    <x v="2"/>
    <n v="23648.274000000001"/>
    <x v="2"/>
  </r>
  <r>
    <s v="EMP1348"/>
    <s v="Varsha Malhotra"/>
    <x v="6"/>
    <x v="0"/>
    <s v="Senior Analyst"/>
    <x v="1"/>
    <n v="40"/>
    <s v="PhD"/>
    <s v="Terminated"/>
    <d v="2022-02-15T00:00:00"/>
    <n v="8.6"/>
    <n v="2367641"/>
    <n v="8.5000000000000006E-3"/>
    <n v="3"/>
    <x v="1"/>
    <n v="8963153449"/>
    <s v="varshamalhotraat-company.com"/>
    <n v="79"/>
    <n v="116"/>
    <s v="EMP1046"/>
    <s v="Invalid"/>
    <n v="2"/>
    <s v="Feb"/>
    <n v="2022"/>
    <n v="4"/>
    <s v="40-49"/>
    <x v="4"/>
    <x v="2"/>
    <n v="20124.948500000002"/>
    <x v="2"/>
  </r>
  <r>
    <s v="EMP1089"/>
    <s v="Suresh Rao"/>
    <x v="3"/>
    <x v="5"/>
    <s v="Consultant"/>
    <x v="0"/>
    <n v="58"/>
    <s v="PhD"/>
    <s v="Active"/>
    <d v="2022-02-13T00:00:00"/>
    <n v="2.7"/>
    <n v="2037385"/>
    <n v="0.21719999999999998"/>
    <n v="5"/>
    <x v="1"/>
    <n v="8952902914"/>
    <s v="sureshrao@company.com"/>
    <n v="11"/>
    <n v="58"/>
    <s v="EMP1082"/>
    <s v="Valid"/>
    <n v="2"/>
    <s v="Feb"/>
    <n v="2022"/>
    <n v="4"/>
    <s v="50+"/>
    <x v="4"/>
    <x v="1"/>
    <n v="442520.02199999994"/>
    <x v="0"/>
  </r>
  <r>
    <s v="EMP1061"/>
    <s v="Gaurav Reddy"/>
    <x v="1"/>
    <x v="4"/>
    <s v="Director"/>
    <x v="1"/>
    <n v="41"/>
    <s v="B.Com"/>
    <s v="On Leave"/>
    <d v="2014-08-27T00:00:00"/>
    <n v="16.2"/>
    <n v="2427833"/>
    <n v="0.1573"/>
    <n v="2"/>
    <x v="1"/>
    <n v="8321466224"/>
    <s v="gauravreddy@company.com"/>
    <n v="33"/>
    <n v="100"/>
    <s v="EMP1100"/>
    <s v="Valid"/>
    <n v="8"/>
    <s v="Aug"/>
    <n v="2014"/>
    <n v="11"/>
    <s v="40-49"/>
    <x v="4"/>
    <x v="3"/>
    <n v="381898.13089999999"/>
    <x v="1"/>
  </r>
  <r>
    <s v="EMP1126"/>
    <s v="Arun Chatterjee"/>
    <x v="6"/>
    <x v="0"/>
    <s v="Senior Manager"/>
    <x v="0"/>
    <n v="34"/>
    <s v="CA"/>
    <s v="Inactive"/>
    <d v="2015-02-25T00:00:00"/>
    <n v="24.8"/>
    <n v="1947927"/>
    <n v="0.12470000000000001"/>
    <n v="5"/>
    <x v="1"/>
    <n v="8964465977"/>
    <s v="arunchatterjee@company.com"/>
    <n v="6"/>
    <n v="55"/>
    <s v="EMP1075"/>
    <s v="Valid"/>
    <n v="2"/>
    <s v="Feb"/>
    <n v="2015"/>
    <n v="11"/>
    <s v="30-39"/>
    <x v="0"/>
    <x v="1"/>
    <n v="242906.4969"/>
    <x v="1"/>
  </r>
  <r>
    <s v="EMP1176"/>
    <s v="Agarwal, Kavya"/>
    <x v="4"/>
    <x v="5"/>
    <s v="Intern"/>
    <x v="0"/>
    <n v="25"/>
    <s v="MCA"/>
    <s v="Active"/>
    <d v="2021-10-19T00:00:00"/>
    <n v="8.9"/>
    <n v="1047627"/>
    <n v="8.0700000000000008E-2"/>
    <n v="3"/>
    <x v="1"/>
    <n v="8546998451"/>
    <s v="agarwal,kavya@companycom"/>
    <n v="8"/>
    <n v="107"/>
    <s v="EMP1071"/>
    <s v="Invalid"/>
    <n v="10"/>
    <s v="Oct"/>
    <n v="2021"/>
    <n v="4"/>
    <s v="20-29"/>
    <x v="2"/>
    <x v="2"/>
    <n v="84543.498900000006"/>
    <x v="2"/>
  </r>
  <r>
    <s v="EMP1081"/>
    <s v="Suresh Iyer"/>
    <x v="3"/>
    <x v="0"/>
    <s v="Director"/>
    <x v="0"/>
    <n v="40"/>
    <s v="B.Sc"/>
    <s v="On Leave"/>
    <d v="2014-07-12T00:00:00"/>
    <n v="23.6"/>
    <n v="2359433"/>
    <n v="0.23569999999999999"/>
    <n v="5"/>
    <x v="0"/>
    <n v="7772781491"/>
    <s v="sureshiyer@company.com"/>
    <n v="37"/>
    <n v="8"/>
    <s v="EMP1053"/>
    <s v="Valid"/>
    <n v="7"/>
    <s v="Jul"/>
    <n v="2014"/>
    <n v="11"/>
    <s v="40-49"/>
    <x v="4"/>
    <x v="1"/>
    <n v="556118.35809999995"/>
    <x v="1"/>
  </r>
  <r>
    <s v="EMP1096"/>
    <s v="Tanvi Reddy"/>
    <x v="4"/>
    <x v="4"/>
    <s v="Director"/>
    <x v="0"/>
    <n v="58"/>
    <s v="BBA"/>
    <s v="Active"/>
    <d v="2023-01-08T00:00:00"/>
    <n v="15.5"/>
    <n v="783744"/>
    <n v="0.1048"/>
    <n v="3"/>
    <x v="1"/>
    <n v="7151885397"/>
    <s v="tanvireddy@company.com"/>
    <n v="53"/>
    <n v="40"/>
    <s v="EMP1035"/>
    <s v="Valid"/>
    <n v="1"/>
    <s v="Jan"/>
    <n v="2023"/>
    <n v="3"/>
    <s v="50+"/>
    <x v="1"/>
    <x v="2"/>
    <n v="82136.371200000009"/>
    <x v="1"/>
  </r>
  <r>
    <s v="EMP1244"/>
    <s v="Nisha Mishra"/>
    <x v="1"/>
    <x v="0"/>
    <s v="Manager"/>
    <x v="1"/>
    <n v="40"/>
    <s v="PhD"/>
    <s v="On Leave"/>
    <d v="2020-11-08T00:00:00"/>
    <n v="21.6"/>
    <n v="657496"/>
    <n v="0.22450000000000001"/>
    <n v="4"/>
    <x v="1"/>
    <n v="7592681126"/>
    <s v="nishamishra@company.com"/>
    <n v="66"/>
    <n v="46"/>
    <s v="EMP1004"/>
    <s v="Valid"/>
    <n v="11"/>
    <s v="Nov"/>
    <n v="2020"/>
    <n v="5"/>
    <s v="40-49"/>
    <x v="1"/>
    <x v="0"/>
    <n v="147607.85200000001"/>
    <x v="1"/>
  </r>
  <r>
    <s v="EMP1033"/>
    <s v="Sneha Sinha"/>
    <x v="3"/>
    <x v="5"/>
    <s v="Senior Analyst"/>
    <x v="1"/>
    <n v="38"/>
    <s v="M.Tech"/>
    <s v="Inactive"/>
    <d v="2014-08-02T00:00:00"/>
    <n v="27.2"/>
    <n v="873693"/>
    <n v="0.1966"/>
    <n v="3"/>
    <x v="1"/>
    <n v="8403247962"/>
    <s v="snehasinha@company.com"/>
    <n v="46"/>
    <n v="116"/>
    <s v="EMP1035"/>
    <s v="Valid"/>
    <n v="8"/>
    <s v="Aug"/>
    <n v="2014"/>
    <n v="11"/>
    <s v="30-39"/>
    <x v="1"/>
    <x v="2"/>
    <n v="171768.04379999998"/>
    <x v="1"/>
  </r>
  <r>
    <s v="EMP1230"/>
    <s v="Rao, Hemant"/>
    <x v="2"/>
    <x v="0"/>
    <s v="Consultant"/>
    <x v="1"/>
    <n v="34"/>
    <s v="MBA"/>
    <s v="Contract"/>
    <d v="2012-02-12T00:00:00"/>
    <n v="18.7"/>
    <n v="1007813"/>
    <n v="0.1235"/>
    <n v="5"/>
    <x v="0"/>
    <n v="8868992531"/>
    <s v="rao,hemantat-company.com"/>
    <n v="26"/>
    <n v="110"/>
    <s v="EMP1035"/>
    <s v="Invalid"/>
    <n v="2"/>
    <s v="Feb"/>
    <n v="2012"/>
    <n v="14"/>
    <s v="30-39"/>
    <x v="2"/>
    <x v="1"/>
    <n v="124464.90549999999"/>
    <x v="1"/>
  </r>
  <r>
    <s v="EMP1016"/>
    <s v="Aarti Rao"/>
    <x v="6"/>
    <x v="5"/>
    <s v="Senior Manager"/>
    <x v="0"/>
    <n v="55"/>
    <s v="M.Tech"/>
    <s v="Active"/>
    <d v="2017-11-17T00:00:00"/>
    <n v="4.0999999999999996"/>
    <n v="1345213"/>
    <n v="0.22670000000000001"/>
    <n v="5"/>
    <x v="1"/>
    <n v="9631321682"/>
    <s v="aartiraoat-company.com"/>
    <n v="20"/>
    <n v="60"/>
    <s v="EMP1058"/>
    <s v="Invalid"/>
    <n v="11"/>
    <s v="Nov"/>
    <n v="2017"/>
    <n v="8"/>
    <s v="50+"/>
    <x v="2"/>
    <x v="1"/>
    <n v="304959.78710000002"/>
    <x v="0"/>
  </r>
  <r>
    <s v="EMP1384"/>
    <s v="Deepak Joshi"/>
    <x v="1"/>
    <x v="1"/>
    <s v="Senior Manager"/>
    <x v="1"/>
    <n v="44"/>
    <s v="MCA"/>
    <s v="On Leave"/>
    <d v="2010-10-13T00:00:00"/>
    <n v="19.100000000000001"/>
    <n v="2493800"/>
    <n v="5.1900000000000002E-2"/>
    <n v="5"/>
    <x v="0"/>
    <n v="8490016614"/>
    <s v="deepakjoshi@companycom"/>
    <n v="64"/>
    <n v="95"/>
    <s v="EMP1035"/>
    <s v="Invalid"/>
    <n v="10"/>
    <s v="Oct"/>
    <n v="2010"/>
    <n v="15"/>
    <s v="40-49"/>
    <x v="4"/>
    <x v="1"/>
    <n v="129428.22"/>
    <x v="1"/>
  </r>
  <r>
    <s v="EMP1234"/>
    <s v="Tanvi Chatterjee"/>
    <x v="2"/>
    <x v="4"/>
    <s v="Director"/>
    <x v="1"/>
    <n v="33"/>
    <s v="M.Tech"/>
    <s v="Terminated"/>
    <d v="2013-10-01T00:00:00"/>
    <n v="17.100000000000001"/>
    <n v="2433800"/>
    <n v="8.2200000000000009E-2"/>
    <n v="5"/>
    <x v="1"/>
    <n v="8057238139"/>
    <s v="tanvichatterjee@company.com"/>
    <n v="15"/>
    <n v="75"/>
    <s v="EMP1014"/>
    <s v="Valid"/>
    <n v="10"/>
    <s v="Oct"/>
    <n v="2013"/>
    <n v="12"/>
    <s v="30-39"/>
    <x v="4"/>
    <x v="1"/>
    <n v="200058.36000000002"/>
    <x v="1"/>
  </r>
  <r>
    <s v="EMP1336"/>
    <s v="Rajesh Nair"/>
    <x v="4"/>
    <x v="0"/>
    <s v="Senior Manager"/>
    <x v="0"/>
    <n v="48"/>
    <s v="MCA"/>
    <s v="Active"/>
    <d v="2017-05-11T00:00:00"/>
    <n v="7.6"/>
    <n v="813270"/>
    <n v="0.21820000000000001"/>
    <n v="4"/>
    <x v="1"/>
    <n v="8272316134"/>
    <s v="rajeshnair@company.com"/>
    <n v="26"/>
    <n v="9"/>
    <s v="EMP1064"/>
    <s v="Valid"/>
    <n v="5"/>
    <s v="May"/>
    <n v="2017"/>
    <n v="8"/>
    <s v="40-49"/>
    <x v="1"/>
    <x v="0"/>
    <n v="177455.514"/>
    <x v="2"/>
  </r>
  <r>
    <s v="EMP1371"/>
    <s v="Aarti Banerjee"/>
    <x v="2"/>
    <x v="1"/>
    <s v="Associate"/>
    <x v="1"/>
    <n v="41"/>
    <s v="MCA"/>
    <s v="Active"/>
    <d v="2020-02-20T00:00:00"/>
    <n v="5.4"/>
    <n v="1228241"/>
    <n v="8.3299999999999999E-2"/>
    <n v="3"/>
    <x v="0"/>
    <n v="7090699807"/>
    <s v="aartibanerjee@companycom"/>
    <n v="70"/>
    <n v="6"/>
    <s v="EMP1067"/>
    <s v="Invalid"/>
    <n v="2"/>
    <s v="Feb"/>
    <n v="2020"/>
    <n v="6"/>
    <s v="40-49"/>
    <x v="2"/>
    <x v="2"/>
    <n v="102312.47530000001"/>
    <x v="2"/>
  </r>
  <r>
    <s v="EMP1400"/>
    <s v="Yash Bose"/>
    <x v="3"/>
    <x v="3"/>
    <s v="Executive"/>
    <x v="0"/>
    <n v="55"/>
    <s v="B.Com"/>
    <s v="Active"/>
    <d v="2014-12-06T00:00:00"/>
    <n v="17.100000000000001"/>
    <n v="1227031"/>
    <n v="3.2099999999999997E-2"/>
    <n v="5"/>
    <x v="1"/>
    <n v="9891710073"/>
    <s v="yashboseat-company.com"/>
    <n v="49"/>
    <n v="29"/>
    <s v="EMP1004"/>
    <s v="Invalid"/>
    <n v="12"/>
    <s v="Dec"/>
    <n v="2014"/>
    <n v="11"/>
    <s v="50+"/>
    <x v="2"/>
    <x v="1"/>
    <n v="39387.695099999997"/>
    <x v="1"/>
  </r>
  <r>
    <s v="EMP1116"/>
    <s v="Geeta Pillai"/>
    <x v="4"/>
    <x v="1"/>
    <s v="Lead"/>
    <x v="0"/>
    <n v="40"/>
    <s v="B.Com"/>
    <s v="Active"/>
    <d v="2024-03-22T00:00:00"/>
    <n v="21.9"/>
    <n v="836636"/>
    <n v="0.1464"/>
    <n v="2"/>
    <x v="1"/>
    <n v="8318921193"/>
    <s v="geetapillaiat-company.com"/>
    <n v="15"/>
    <n v="110"/>
    <s v="EMP1082"/>
    <s v="Invalid"/>
    <n v="3"/>
    <s v="Mar"/>
    <n v="2024"/>
    <n v="2"/>
    <s v="40-49"/>
    <x v="1"/>
    <x v="3"/>
    <n v="122483.5104"/>
    <x v="1"/>
  </r>
  <r>
    <s v="EMP1072"/>
    <s v="Kavya Iyer"/>
    <x v="1"/>
    <x v="1"/>
    <s v="Senior Analyst"/>
    <x v="0"/>
    <n v="25"/>
    <s v="B.Com"/>
    <s v="Contract"/>
    <d v="2013-06-21T00:00:00"/>
    <n v="4.5"/>
    <n v="2046960"/>
    <n v="9.4299999999999995E-2"/>
    <n v="4"/>
    <x v="1"/>
    <n v="9300537106"/>
    <s v="kavyaiyer@companycom"/>
    <n v="5"/>
    <n v="24"/>
    <s v="EMP1098"/>
    <s v="Invalid"/>
    <n v="6"/>
    <s v="Jun"/>
    <n v="2013"/>
    <n v="12"/>
    <s v="20-29"/>
    <x v="4"/>
    <x v="0"/>
    <n v="193028.32799999998"/>
    <x v="0"/>
  </r>
  <r>
    <s v="EMP1285"/>
    <s v="Sneha Shah"/>
    <x v="2"/>
    <x v="0"/>
    <s v="Senior Consultant"/>
    <x v="0"/>
    <n v="29"/>
    <s v="B.Com"/>
    <s v="Active"/>
    <d v="2017-10-22T00:00:00"/>
    <n v="22.7"/>
    <n v="1472171"/>
    <n v="0.21840000000000001"/>
    <n v="4"/>
    <x v="1"/>
    <n v="7013439400"/>
    <s v="snehashah@company.com"/>
    <n v="41"/>
    <n v="29"/>
    <s v="EMP1078"/>
    <s v="Valid"/>
    <n v="10"/>
    <s v="Oct"/>
    <n v="2017"/>
    <n v="8"/>
    <s v="20-29"/>
    <x v="2"/>
    <x v="0"/>
    <n v="321522.14640000003"/>
    <x v="1"/>
  </r>
  <r>
    <s v="EMP1481"/>
    <s v="Manish Patel"/>
    <x v="4"/>
    <x v="2"/>
    <s v="Lead"/>
    <x v="0"/>
    <n v="55"/>
    <s v="BBA"/>
    <s v="Active"/>
    <d v="2023-03-08T00:00:00"/>
    <n v="4.7"/>
    <n v="2200442"/>
    <n v="0.1961"/>
    <n v="3"/>
    <x v="1"/>
    <n v="7396300853"/>
    <s v="manishpatel@company.com"/>
    <n v="22"/>
    <n v="60"/>
    <s v="EMP1055"/>
    <s v="Valid"/>
    <n v="3"/>
    <s v="Mar"/>
    <n v="2023"/>
    <n v="3"/>
    <s v="50+"/>
    <x v="4"/>
    <x v="2"/>
    <n v="431506.67619999999"/>
    <x v="0"/>
  </r>
  <r>
    <s v="EMP1247"/>
    <s v="Preeti Reddy"/>
    <x v="0"/>
    <x v="1"/>
    <s v="Consultant"/>
    <x v="1"/>
    <n v="29"/>
    <s v="MBA"/>
    <s v="Active"/>
    <d v="2019-10-23T00:00:00"/>
    <n v="29.5"/>
    <n v="321866"/>
    <n v="0.1787"/>
    <n v="4"/>
    <x v="1"/>
    <n v="8504686545"/>
    <s v="preetireddy@company.com"/>
    <n v="48"/>
    <n v="31"/>
    <s v="EMP1014"/>
    <s v="Valid"/>
    <n v="10"/>
    <s v="Oct"/>
    <n v="2019"/>
    <n v="6"/>
    <s v="20-29"/>
    <x v="3"/>
    <x v="0"/>
    <n v="57517.4542"/>
    <x v="1"/>
  </r>
  <r>
    <s v="EMP1010"/>
    <s v="Vikram Pillai"/>
    <x v="0"/>
    <x v="4"/>
    <s v="Senior Analyst"/>
    <x v="1"/>
    <n v="50"/>
    <s v="BBA"/>
    <s v="Active"/>
    <d v="2010-11-27T00:00:00"/>
    <n v="29.6"/>
    <n v="1568848"/>
    <n v="3.8900000000000004E-2"/>
    <n v="2"/>
    <x v="1"/>
    <n v="8135872495"/>
    <s v="vikrampillai@company.com"/>
    <n v="26"/>
    <n v="26"/>
    <s v="EMP1088"/>
    <s v="Valid"/>
    <n v="11"/>
    <s v="Nov"/>
    <n v="2010"/>
    <n v="15"/>
    <s v="50+"/>
    <x v="0"/>
    <x v="3"/>
    <n v="61028.187200000008"/>
    <x v="1"/>
  </r>
  <r>
    <s v="EMP1204"/>
    <s v="Shweta Tiwari"/>
    <x v="5"/>
    <x v="3"/>
    <s v="Senior Manager"/>
    <x v="0"/>
    <n v="40"/>
    <s v="MCA"/>
    <s v="Active"/>
    <d v="2013-11-03T00:00:00"/>
    <n v="18.600000000000001"/>
    <n v="1431578"/>
    <n v="1.29E-2"/>
    <n v="3"/>
    <x v="0"/>
    <n v="9210776336"/>
    <s v="shwetatiwari@companycom"/>
    <n v="59"/>
    <n v="46"/>
    <s v="EMP1047"/>
    <s v="Invalid"/>
    <n v="11"/>
    <s v="Nov"/>
    <n v="2013"/>
    <n v="12"/>
    <s v="40-49"/>
    <x v="2"/>
    <x v="2"/>
    <n v="18467.356199999998"/>
    <x v="1"/>
  </r>
  <r>
    <s v="EMP1242"/>
    <s v="Sanjay Kapoor"/>
    <x v="2"/>
    <x v="4"/>
    <s v="Senior Analyst"/>
    <x v="0"/>
    <n v="28"/>
    <s v="CA"/>
    <s v="Contract"/>
    <d v="2010-06-09T00:00:00"/>
    <n v="6.7"/>
    <n v="2370833"/>
    <n v="0.15439999999999998"/>
    <n v="3"/>
    <x v="0"/>
    <n v="7137310137"/>
    <s v="sanjaykapoor@company.com"/>
    <n v="28"/>
    <n v="43"/>
    <s v="EMP1046"/>
    <s v="Valid"/>
    <n v="6"/>
    <s v="Jun"/>
    <n v="2010"/>
    <n v="15"/>
    <s v="20-29"/>
    <x v="4"/>
    <x v="2"/>
    <n v="366056.61519999994"/>
    <x v="2"/>
  </r>
  <r>
    <s v="EMP1056"/>
    <s v="Deepak Banerjee"/>
    <x v="2"/>
    <x v="1"/>
    <s v="Lead"/>
    <x v="1"/>
    <n v="27"/>
    <s v="PhD"/>
    <s v="Active"/>
    <d v="2022-07-27T00:00:00"/>
    <n v="21.7"/>
    <n v="1970003"/>
    <n v="0.2195"/>
    <n v="3"/>
    <x v="1"/>
    <n v="8932625737"/>
    <s v="deepakbanerjee@company.com"/>
    <n v="75"/>
    <n v="16"/>
    <s v="EMP1056"/>
    <s v="Valid"/>
    <n v="7"/>
    <s v="Jul"/>
    <n v="2022"/>
    <n v="3"/>
    <s v="20-29"/>
    <x v="0"/>
    <x v="2"/>
    <n v="432415.65850000002"/>
    <x v="1"/>
  </r>
  <r>
    <s v="EMP1321"/>
    <s v="Geeta Verma"/>
    <x v="6"/>
    <x v="5"/>
    <s v="Senior Analyst"/>
    <x v="0"/>
    <n v="40"/>
    <s v="B.Com"/>
    <s v="Active"/>
    <d v="2020-02-12T00:00:00"/>
    <n v="7.1"/>
    <n v="1974703"/>
    <n v="0.23989999999999997"/>
    <n v="4"/>
    <x v="1"/>
    <n v="7468662769"/>
    <s v="geetavermaat-company.com"/>
    <n v="55"/>
    <n v="42"/>
    <s v="EMP1009"/>
    <s v="Invalid"/>
    <n v="2"/>
    <s v="Feb"/>
    <n v="2020"/>
    <n v="6"/>
    <s v="40-49"/>
    <x v="0"/>
    <x v="0"/>
    <n v="473731.24969999993"/>
    <x v="2"/>
  </r>
  <r>
    <s v="EMP1260"/>
    <s v="Mayur Bose"/>
    <x v="2"/>
    <x v="4"/>
    <s v="VP"/>
    <x v="1"/>
    <n v="25"/>
    <s v="MBA"/>
    <s v="Active"/>
    <d v="2011-11-02T00:00:00"/>
    <n v="18.5"/>
    <n v="2153540"/>
    <n v="0.14990000000000001"/>
    <n v="5"/>
    <x v="0"/>
    <n v="7411587803"/>
    <s v="mayurboseat-company.com"/>
    <n v="1"/>
    <n v="59"/>
    <s v="EMP1055"/>
    <s v="Invalid"/>
    <n v="11"/>
    <s v="Nov"/>
    <n v="2011"/>
    <n v="14"/>
    <s v="20-29"/>
    <x v="4"/>
    <x v="1"/>
    <n v="322815.64600000001"/>
    <x v="1"/>
  </r>
  <r>
    <s v="EMP1019"/>
    <s v="Nisha Saxena"/>
    <x v="5"/>
    <x v="0"/>
    <s v="Executive"/>
    <x v="1"/>
    <n v="56"/>
    <s v="PhD"/>
    <s v="Active"/>
    <d v="2010-01-08T00:00:00"/>
    <n v="2.5"/>
    <n v="1767840"/>
    <n v="5.45E-2"/>
    <n v="1"/>
    <x v="1"/>
    <n v="7542114964"/>
    <s v="nishasaxena@companycom"/>
    <n v="47"/>
    <n v="77"/>
    <s v="EMP1096"/>
    <s v="Invalid"/>
    <n v="1"/>
    <s v="Jan"/>
    <n v="2010"/>
    <n v="16"/>
    <s v="50+"/>
    <x v="0"/>
    <x v="4"/>
    <n v="96347.28"/>
    <x v="0"/>
  </r>
  <r>
    <s v="EMP1248"/>
    <s v="Shruti Kumar"/>
    <x v="2"/>
    <x v="4"/>
    <s v="Senior Consultant"/>
    <x v="0"/>
    <n v="27"/>
    <s v="B.Sc"/>
    <s v="Active"/>
    <d v="2018-07-19T00:00:00"/>
    <n v="13.7"/>
    <n v="845525"/>
    <n v="0.23699999999999999"/>
    <n v="3"/>
    <x v="1"/>
    <n v="9142446952"/>
    <s v="shrutikumar@companycom"/>
    <n v="53"/>
    <n v="18"/>
    <s v="EMP1065"/>
    <s v="Invalid"/>
    <n v="7"/>
    <s v="Jul"/>
    <n v="2018"/>
    <n v="7"/>
    <s v="20-29"/>
    <x v="1"/>
    <x v="2"/>
    <n v="200389.42499999999"/>
    <x v="1"/>
  </r>
  <r>
    <s v="EMP1451"/>
    <s v="Tanvi Bose"/>
    <x v="0"/>
    <x v="0"/>
    <s v="Manager"/>
    <x v="0"/>
    <n v="31"/>
    <s v="MCA"/>
    <s v="On Leave"/>
    <d v="2012-10-06T00:00:00"/>
    <n v="24.6"/>
    <n v="358511"/>
    <n v="3.9599999999999996E-2"/>
    <n v="1"/>
    <x v="1"/>
    <n v="8163464032"/>
    <s v="tanvibose@company.com"/>
    <n v="70"/>
    <n v="24"/>
    <s v="EMP1063"/>
    <s v="Valid"/>
    <n v="10"/>
    <s v="Oct"/>
    <n v="2012"/>
    <n v="13"/>
    <s v="30-39"/>
    <x v="3"/>
    <x v="4"/>
    <n v="14197.035599999999"/>
    <x v="1"/>
  </r>
  <r>
    <s v="EMP1053"/>
    <s v="Smita Kapoor"/>
    <x v="1"/>
    <x v="1"/>
    <s v="Senior Manager"/>
    <x v="0"/>
    <n v="33"/>
    <s v="MBA"/>
    <s v="On Leave"/>
    <d v="2017-10-23T00:00:00"/>
    <n v="10.199999999999999"/>
    <n v="1647258"/>
    <n v="0.245"/>
    <n v="4"/>
    <x v="0"/>
    <n v="8514230707"/>
    <s v="smitakapoor@company.com"/>
    <n v="9"/>
    <n v="51"/>
    <s v="EMP1047"/>
    <s v="Valid"/>
    <n v="10"/>
    <s v="Oct"/>
    <n v="2017"/>
    <n v="8"/>
    <s v="30-39"/>
    <x v="0"/>
    <x v="0"/>
    <n v="403578.21"/>
    <x v="1"/>
  </r>
  <r>
    <s v="EMP1170"/>
    <s v="Vishal Malhotra"/>
    <x v="3"/>
    <x v="2"/>
    <s v="Senior Consultant"/>
    <x v="0"/>
    <n v="58"/>
    <s v="B.Sc"/>
    <s v="Active"/>
    <d v="2012-06-27T00:00:00"/>
    <n v="16.2"/>
    <n v="1631675"/>
    <n v="0.2235"/>
    <n v="1"/>
    <x v="0"/>
    <n v="8766312876"/>
    <s v="vishalmalhotra@company.com"/>
    <n v="35"/>
    <n v="24"/>
    <s v="EMP1014"/>
    <s v="Valid"/>
    <n v="6"/>
    <s v="Jun"/>
    <n v="2012"/>
    <n v="13"/>
    <s v="50+"/>
    <x v="0"/>
    <x v="4"/>
    <n v="364679.36249999999"/>
    <x v="1"/>
  </r>
  <r>
    <s v="EMP1305"/>
    <s v="Rajesh Patel"/>
    <x v="6"/>
    <x v="3"/>
    <s v="Senior Manager"/>
    <x v="0"/>
    <n v="34"/>
    <s v="CA"/>
    <s v="Inactive"/>
    <d v="2021-08-25T00:00:00"/>
    <n v="16.600000000000001"/>
    <n v="713715"/>
    <n v="0.1898"/>
    <n v="3"/>
    <x v="1"/>
    <n v="8796209273"/>
    <s v="rajeshpatel@company.com"/>
    <n v="71"/>
    <n v="114"/>
    <s v="EMP1047"/>
    <s v="Valid"/>
    <n v="8"/>
    <s v="Aug"/>
    <n v="2021"/>
    <n v="4"/>
    <s v="30-39"/>
    <x v="1"/>
    <x v="2"/>
    <n v="135463.10699999999"/>
    <x v="1"/>
  </r>
  <r>
    <s v="EMP1060"/>
    <s v="Karan Chopra"/>
    <x v="2"/>
    <x v="0"/>
    <s v="Manager"/>
    <x v="1"/>
    <n v="26"/>
    <s v="MCA"/>
    <s v="Terminated"/>
    <d v="2020-10-04T00:00:00"/>
    <n v="8.8000000000000007"/>
    <n v="2188923"/>
    <n v="0.15060000000000001"/>
    <n v="2"/>
    <x v="1"/>
    <n v="9395869480"/>
    <s v="karanchopra@companycom"/>
    <n v="5"/>
    <n v="17"/>
    <s v="EMP1092"/>
    <s v="Invalid"/>
    <n v="10"/>
    <s v="Oct"/>
    <n v="2020"/>
    <n v="5"/>
    <s v="20-29"/>
    <x v="4"/>
    <x v="3"/>
    <n v="329651.80380000005"/>
    <x v="2"/>
  </r>
  <r>
    <s v="EMP1193"/>
    <s v="Kumar, Karan"/>
    <x v="4"/>
    <x v="4"/>
    <s v="Manager"/>
    <x v="1"/>
    <n v="29"/>
    <s v="CA"/>
    <s v="Active"/>
    <d v="2022-03-04T00:00:00"/>
    <n v="23"/>
    <n v="844870"/>
    <n v="0.17309999999999998"/>
    <n v="5"/>
    <x v="1"/>
    <n v="9743541394"/>
    <s v="kumar,karan@companycom"/>
    <n v="41"/>
    <n v="99"/>
    <s v="EMP1010"/>
    <s v="Invalid"/>
    <n v="3"/>
    <s v="Mar"/>
    <n v="2022"/>
    <n v="4"/>
    <s v="20-29"/>
    <x v="1"/>
    <x v="1"/>
    <n v="146246.99699999997"/>
    <x v="1"/>
  </r>
  <r>
    <s v="EMP1428"/>
    <s v="Vishal Menon"/>
    <x v="6"/>
    <x v="0"/>
    <s v="Senior Consultant"/>
    <x v="1"/>
    <n v="28"/>
    <s v="Diploma"/>
    <s v="On Leave"/>
    <d v="2018-04-15T00:00:00"/>
    <n v="21.7"/>
    <n v="1255564"/>
    <n v="4.2800000000000005E-2"/>
    <n v="1"/>
    <x v="1"/>
    <n v="9135169757"/>
    <s v="vishalmenonat-company.com"/>
    <n v="71"/>
    <n v="114"/>
    <s v="EMP1045"/>
    <s v="Invalid"/>
    <n v="4"/>
    <s v="Apr"/>
    <n v="2018"/>
    <n v="7"/>
    <s v="20-29"/>
    <x v="2"/>
    <x v="4"/>
    <n v="53738.139200000005"/>
    <x v="1"/>
  </r>
  <r>
    <s v="EMP1020"/>
    <s v="Bhavna Mishra"/>
    <x v="4"/>
    <x v="4"/>
    <s v="Executive"/>
    <x v="0"/>
    <n v="26"/>
    <s v="B.Sc"/>
    <s v="Inactive"/>
    <d v="2019-02-26T00:00:00"/>
    <n v="23.3"/>
    <n v="1318584"/>
    <n v="3.2000000000000002E-3"/>
    <n v="1"/>
    <x v="0"/>
    <n v="9841212515"/>
    <s v="bhavnamishra@company.com"/>
    <n v="62"/>
    <n v="46"/>
    <s v="EMP1082"/>
    <s v="Valid"/>
    <n v="2"/>
    <s v="Feb"/>
    <n v="2019"/>
    <n v="7"/>
    <s v="20-29"/>
    <x v="2"/>
    <x v="4"/>
    <n v="4219.4688000000006"/>
    <x v="1"/>
  </r>
  <r>
    <s v="EMP1279"/>
    <s v="Deepak Verma"/>
    <x v="3"/>
    <x v="4"/>
    <s v="Senior Manager"/>
    <x v="0"/>
    <n v="37"/>
    <s v="CA"/>
    <s v="Inactive"/>
    <d v="2013-07-06T00:00:00"/>
    <n v="9.6999999999999993"/>
    <n v="2087779"/>
    <n v="0.24309999999999998"/>
    <n v="5"/>
    <x v="1"/>
    <n v="9729897436"/>
    <s v="deepakverma@companycom"/>
    <n v="21"/>
    <n v="54"/>
    <s v="EMP1065"/>
    <s v="Invalid"/>
    <n v="7"/>
    <s v="Jul"/>
    <n v="2013"/>
    <n v="12"/>
    <s v="30-39"/>
    <x v="4"/>
    <x v="1"/>
    <n v="507539.07489999995"/>
    <x v="2"/>
  </r>
  <r>
    <s v="EMP1408"/>
    <s v="Neha Chatterjee"/>
    <x v="0"/>
    <x v="5"/>
    <s v="Senior Consultant"/>
    <x v="0"/>
    <n v="41"/>
    <s v="B.Com"/>
    <s v="Active"/>
    <d v="2020-05-18T00:00:00"/>
    <n v="10.199999999999999"/>
    <n v="669120"/>
    <n v="7.85E-2"/>
    <n v="5"/>
    <x v="1"/>
    <n v="7292074547"/>
    <s v="nehachatterjee@company.com"/>
    <n v="57"/>
    <n v="27"/>
    <s v="EMP1024"/>
    <s v="Valid"/>
    <n v="5"/>
    <s v="May"/>
    <n v="2020"/>
    <n v="5"/>
    <s v="40-49"/>
    <x v="1"/>
    <x v="1"/>
    <n v="52525.919999999998"/>
    <x v="1"/>
  </r>
  <r>
    <s v="EMP1086"/>
    <s v="Sunita Iyer"/>
    <x v="2"/>
    <x v="0"/>
    <s v="VP"/>
    <x v="0"/>
    <n v="58"/>
    <s v="CA"/>
    <s v="Active"/>
    <d v="2024-03-18T00:00:00"/>
    <n v="16.399999999999999"/>
    <n v="1079107"/>
    <n v="0.12119999999999999"/>
    <n v="5"/>
    <x v="1"/>
    <n v="8937034431"/>
    <s v="sunitaiyer@companycom"/>
    <n v="49"/>
    <n v="64"/>
    <s v="EMP1084"/>
    <s v="Invalid"/>
    <n v="3"/>
    <s v="Mar"/>
    <n v="2024"/>
    <n v="2"/>
    <s v="50+"/>
    <x v="2"/>
    <x v="1"/>
    <n v="130787.76839999999"/>
    <x v="1"/>
  </r>
  <r>
    <s v="EMP1259"/>
    <s v="Aarti Kumar"/>
    <x v="6"/>
    <x v="4"/>
    <s v="Senior Consultant"/>
    <x v="1"/>
    <n v="37"/>
    <s v="B.Sc"/>
    <s v="Active"/>
    <d v="2017-07-26T00:00:00"/>
    <n v="19"/>
    <n v="1680868"/>
    <n v="0.12990000000000002"/>
    <n v="5"/>
    <x v="1"/>
    <n v="8023745012"/>
    <s v="aartikumar@company.com"/>
    <n v="9"/>
    <n v="79"/>
    <s v="EMP1057"/>
    <s v="Valid"/>
    <n v="7"/>
    <s v="Jul"/>
    <n v="2017"/>
    <n v="8"/>
    <s v="30-39"/>
    <x v="0"/>
    <x v="1"/>
    <n v="218344.75320000004"/>
    <x v="1"/>
  </r>
  <r>
    <s v="EMP1392"/>
    <s v="Bose, Hemant"/>
    <x v="0"/>
    <x v="1"/>
    <s v="Manager"/>
    <x v="0"/>
    <n v="46"/>
    <s v="CA"/>
    <s v="Active"/>
    <d v="2016-01-06T00:00:00"/>
    <n v="19.3"/>
    <n v="630363"/>
    <n v="0.2487"/>
    <n v="5"/>
    <x v="1"/>
    <n v="8861590344"/>
    <s v="bose,hemant@companycom"/>
    <n v="69"/>
    <n v="31"/>
    <s v="EMP1089"/>
    <s v="Invalid"/>
    <n v="1"/>
    <s v="Jan"/>
    <n v="2016"/>
    <n v="10"/>
    <s v="40-49"/>
    <x v="1"/>
    <x v="1"/>
    <n v="156771.2781"/>
    <x v="1"/>
  </r>
  <r>
    <s v="EMP1051"/>
    <s v="Nitin Rao"/>
    <x v="4"/>
    <x v="4"/>
    <s v="Lead"/>
    <x v="1"/>
    <n v="46"/>
    <s v="MBA"/>
    <s v="Active"/>
    <d v="2010-06-26T00:00:00"/>
    <n v="29.4"/>
    <n v="482596"/>
    <n v="8.8100000000000012E-2"/>
    <n v="4"/>
    <x v="1"/>
    <n v="9499255738"/>
    <s v="nitinraoat-company.com"/>
    <n v="22"/>
    <n v="87"/>
    <s v="EMP1060"/>
    <s v="Invalid"/>
    <n v="6"/>
    <s v="Jun"/>
    <n v="2010"/>
    <n v="15"/>
    <s v="40-49"/>
    <x v="3"/>
    <x v="0"/>
    <n v="42516.707600000009"/>
    <x v="1"/>
  </r>
  <r>
    <s v="EMP1495"/>
    <s v="Komal Sinha"/>
    <x v="6"/>
    <x v="5"/>
    <s v="Manager"/>
    <x v="1"/>
    <n v="56"/>
    <s v="CA"/>
    <s v="Terminated"/>
    <d v="2020-02-16T00:00:00"/>
    <n v="10.3"/>
    <n v="2214432"/>
    <n v="5.57E-2"/>
    <n v="3"/>
    <x v="1"/>
    <n v="9456281720"/>
    <s v="komalsinhaat-company.com"/>
    <n v="4"/>
    <n v="85"/>
    <s v="EMP1075"/>
    <s v="Invalid"/>
    <n v="2"/>
    <s v="Feb"/>
    <n v="2020"/>
    <n v="6"/>
    <s v="50+"/>
    <x v="4"/>
    <x v="2"/>
    <n v="123343.8624"/>
    <x v="1"/>
  </r>
  <r>
    <s v="EMP1347"/>
    <s v="Rahul Banerjee"/>
    <x v="2"/>
    <x v="4"/>
    <s v="Manager"/>
    <x v="0"/>
    <n v="55"/>
    <s v="CA"/>
    <s v="Active"/>
    <d v="2016-01-04T00:00:00"/>
    <n v="1.2"/>
    <n v="1156869"/>
    <n v="0.21479999999999999"/>
    <n v="4"/>
    <x v="1"/>
    <n v="9348141293"/>
    <s v="rahulbanerjee@company.com"/>
    <n v="55"/>
    <n v="2"/>
    <s v="EMP1024"/>
    <s v="Valid"/>
    <n v="1"/>
    <s v="Jan"/>
    <n v="2016"/>
    <n v="10"/>
    <s v="50+"/>
    <x v="2"/>
    <x v="0"/>
    <n v="248495.46119999999"/>
    <x v="3"/>
  </r>
  <r>
    <s v="EMP1025"/>
    <s v="Piyush Patel"/>
    <x v="2"/>
    <x v="4"/>
    <s v="Manager"/>
    <x v="0"/>
    <n v="40"/>
    <s v="PhD"/>
    <s v="Contract"/>
    <d v="2020-04-09T00:00:00"/>
    <n v="21.2"/>
    <n v="1508399"/>
    <n v="0.2271"/>
    <n v="5"/>
    <x v="1"/>
    <n v="8825957977"/>
    <s v="piyushpatel@company.com"/>
    <n v="9"/>
    <n v="101"/>
    <s v="EMP1040"/>
    <s v="Valid"/>
    <n v="4"/>
    <s v="Apr"/>
    <n v="2020"/>
    <n v="5"/>
    <s v="40-49"/>
    <x v="0"/>
    <x v="1"/>
    <n v="342557.4129"/>
    <x v="1"/>
  </r>
  <r>
    <s v="EMP1180"/>
    <s v="Mayur Pillai"/>
    <x v="0"/>
    <x v="4"/>
    <s v="Intern"/>
    <x v="1"/>
    <n v="24"/>
    <s v="BBA"/>
    <s v="On Leave"/>
    <d v="2014-04-17T00:00:00"/>
    <n v="7.5"/>
    <n v="664056"/>
    <n v="0.19980000000000001"/>
    <n v="2"/>
    <x v="0"/>
    <n v="7868006057"/>
    <s v="mayurpillaiat-company.com"/>
    <n v="19"/>
    <n v="118"/>
    <s v="EMP1062"/>
    <s v="Invalid"/>
    <n v="4"/>
    <s v="Apr"/>
    <n v="2014"/>
    <n v="11"/>
    <s v="20-29"/>
    <x v="1"/>
    <x v="3"/>
    <n v="132678.38880000002"/>
    <x v="2"/>
  </r>
  <r>
    <s v="EMP1145"/>
    <s v="Pooja Tiwari"/>
    <x v="5"/>
    <x v="3"/>
    <s v="Lead"/>
    <x v="0"/>
    <n v="54"/>
    <s v="M.Tech"/>
    <s v="Active"/>
    <d v="2020-01-06T00:00:00"/>
    <n v="20.399999999999999"/>
    <n v="1271698"/>
    <n v="3.8E-3"/>
    <n v="5"/>
    <x v="1"/>
    <n v="9876176605"/>
    <s v="poojatiwari@company.com"/>
    <n v="11"/>
    <n v="92"/>
    <s v="EMP1072"/>
    <s v="Valid"/>
    <n v="1"/>
    <s v="Jan"/>
    <n v="2020"/>
    <n v="6"/>
    <s v="50+"/>
    <x v="2"/>
    <x v="1"/>
    <n v="4832.4524000000001"/>
    <x v="1"/>
  </r>
  <r>
    <s v="EMP1277"/>
    <s v="Nisha Joshi"/>
    <x v="0"/>
    <x v="5"/>
    <s v="Consultant"/>
    <x v="1"/>
    <n v="23"/>
    <s v="MBA"/>
    <s v="On Leave"/>
    <d v="2019-12-01T00:00:00"/>
    <n v="19.399999999999999"/>
    <n v="2182871"/>
    <n v="0.15490000000000001"/>
    <n v="5"/>
    <x v="1"/>
    <n v="8326494754"/>
    <s v="nishajoshiat-company.com"/>
    <n v="47"/>
    <n v="25"/>
    <s v="EMP1020"/>
    <s v="Invalid"/>
    <n v="12"/>
    <s v="Dec"/>
    <n v="2019"/>
    <n v="6"/>
    <s v="20-29"/>
    <x v="4"/>
    <x v="1"/>
    <n v="338126.71790000005"/>
    <x v="1"/>
  </r>
  <r>
    <s v="EMP1267"/>
    <s v="Preeti Bose"/>
    <x v="6"/>
    <x v="0"/>
    <s v="Director"/>
    <x v="0"/>
    <n v="33"/>
    <s v="B.Sc"/>
    <s v="Active"/>
    <d v="2023-09-17T00:00:00"/>
    <n v="11.1"/>
    <n v="1414111"/>
    <n v="8.3400000000000002E-2"/>
    <n v="2"/>
    <x v="1"/>
    <n v="7422663925"/>
    <s v="preetibose@company.com"/>
    <n v="32"/>
    <n v="104"/>
    <s v="EMP1099"/>
    <s v="Valid"/>
    <n v="9"/>
    <s v="Sep"/>
    <n v="2023"/>
    <n v="2"/>
    <s v="30-39"/>
    <x v="2"/>
    <x v="3"/>
    <n v="117936.85740000001"/>
    <x v="1"/>
  </r>
  <r>
    <s v="EMP1284"/>
    <s v="Gupta, Vikram"/>
    <x v="3"/>
    <x v="0"/>
    <s v="Associate"/>
    <x v="1"/>
    <n v="39"/>
    <s v="B.Tech"/>
    <s v="Active"/>
    <d v="2013-09-26T00:00:00"/>
    <n v="23.8"/>
    <n v="330310"/>
    <n v="8.5800000000000001E-2"/>
    <n v="4"/>
    <x v="1"/>
    <n v="9595756047"/>
    <s v="gupta,vikram@companycom"/>
    <n v="30"/>
    <n v="85"/>
    <s v="EMP1052"/>
    <s v="Invalid"/>
    <n v="9"/>
    <s v="Sep"/>
    <n v="2013"/>
    <n v="12"/>
    <s v="30-39"/>
    <x v="3"/>
    <x v="0"/>
    <n v="28340.598000000002"/>
    <x v="1"/>
  </r>
  <r>
    <s v="EMP1151"/>
    <s v="Nisha Nair"/>
    <x v="6"/>
    <x v="1"/>
    <s v="Director"/>
    <x v="0"/>
    <n v="44"/>
    <s v="B.Sc"/>
    <s v="Active"/>
    <d v="2022-05-12T00:00:00"/>
    <n v="19.7"/>
    <n v="1134490"/>
    <n v="0.23910000000000001"/>
    <n v="4"/>
    <x v="1"/>
    <n v="7336757755"/>
    <s v="nishanairat-company.com"/>
    <n v="43"/>
    <n v="78"/>
    <s v="EMP1074"/>
    <s v="Invalid"/>
    <n v="5"/>
    <s v="May"/>
    <n v="2022"/>
    <n v="3"/>
    <s v="40-49"/>
    <x v="2"/>
    <x v="0"/>
    <n v="271256.55900000001"/>
    <x v="1"/>
  </r>
  <r>
    <s v="EMP1237"/>
    <s v="Nisha Bose"/>
    <x v="6"/>
    <x v="4"/>
    <s v="Associate"/>
    <x v="1"/>
    <n v="49"/>
    <s v="BBA"/>
    <s v="Contract"/>
    <d v="2014-04-17T00:00:00"/>
    <n v="29.5"/>
    <n v="2303247"/>
    <n v="2.3599999999999999E-2"/>
    <n v="5"/>
    <x v="1"/>
    <n v="7193681143"/>
    <s v="nishabose@company.com"/>
    <n v="72"/>
    <n v="45"/>
    <s v="EMP1033"/>
    <s v="Valid"/>
    <n v="4"/>
    <s v="Apr"/>
    <n v="2014"/>
    <n v="11"/>
    <s v="40-49"/>
    <x v="4"/>
    <x v="1"/>
    <n v="54356.629199999996"/>
    <x v="1"/>
  </r>
  <r>
    <s v="EMP1369"/>
    <s v="Pooja Chopra"/>
    <x v="4"/>
    <x v="4"/>
    <s v="Lead"/>
    <x v="1"/>
    <n v="26"/>
    <s v="B.Tech"/>
    <s v="On Leave"/>
    <d v="2019-07-21T00:00:00"/>
    <n v="1.6"/>
    <n v="1174709"/>
    <n v="0.1226"/>
    <n v="3"/>
    <x v="1"/>
    <n v="8288922118"/>
    <s v="poojachopra@company.com"/>
    <n v="76"/>
    <n v="61"/>
    <s v="EMP1038"/>
    <s v="Valid"/>
    <n v="7"/>
    <s v="Jul"/>
    <n v="2019"/>
    <n v="6"/>
    <s v="20-29"/>
    <x v="2"/>
    <x v="2"/>
    <n v="144019.32339999999"/>
    <x v="3"/>
  </r>
  <r>
    <s v="EMP1223"/>
    <s v="Sneha Iyer"/>
    <x v="3"/>
    <x v="3"/>
    <s v="Senior Consultant"/>
    <x v="1"/>
    <n v="43"/>
    <s v="CA"/>
    <s v="Active"/>
    <d v="2023-05-17T00:00:00"/>
    <n v="10.7"/>
    <n v="2293420"/>
    <n v="0.1133"/>
    <n v="3"/>
    <x v="1"/>
    <n v="7859324105"/>
    <s v="snehaiyer@company.com"/>
    <n v="23"/>
    <n v="80"/>
    <s v="EMP1091"/>
    <s v="Valid"/>
    <n v="5"/>
    <s v="May"/>
    <n v="2023"/>
    <n v="2"/>
    <s v="40-49"/>
    <x v="4"/>
    <x v="2"/>
    <n v="259844.486"/>
    <x v="1"/>
  </r>
  <r>
    <s v="EMP1463"/>
    <s v="Divya Agarwal"/>
    <x v="6"/>
    <x v="4"/>
    <s v="Consultant"/>
    <x v="0"/>
    <n v="57"/>
    <s v="CA"/>
    <s v="On Leave"/>
    <d v="2014-06-03T00:00:00"/>
    <n v="21.6"/>
    <n v="2349033"/>
    <n v="0.13519999999999999"/>
    <n v="4"/>
    <x v="0"/>
    <n v="7703922444"/>
    <s v="divyaagarwal@company.com"/>
    <n v="44"/>
    <n v="74"/>
    <s v="EMP1052"/>
    <s v="Valid"/>
    <n v="6"/>
    <s v="Jun"/>
    <n v="2014"/>
    <n v="11"/>
    <s v="50+"/>
    <x v="4"/>
    <x v="0"/>
    <n v="317589.26159999997"/>
    <x v="1"/>
  </r>
  <r>
    <s v="EMP1226"/>
    <s v="Sunita Singh"/>
    <x v="2"/>
    <x v="0"/>
    <s v="Consultant"/>
    <x v="0"/>
    <n v="37"/>
    <s v="PhD"/>
    <s v="Active"/>
    <d v="2021-12-08T00:00:00"/>
    <n v="17.7"/>
    <n v="1614538"/>
    <n v="0.2157"/>
    <n v="4"/>
    <x v="1"/>
    <n v="7919589589"/>
    <s v="sunitasingh@company.com"/>
    <n v="68"/>
    <n v="14"/>
    <s v="EMP1041"/>
    <s v="Valid"/>
    <n v="12"/>
    <s v="Dec"/>
    <n v="2021"/>
    <n v="4"/>
    <s v="30-39"/>
    <x v="0"/>
    <x v="0"/>
    <n v="348255.84659999999"/>
    <x v="1"/>
  </r>
  <r>
    <s v="EMP1433"/>
    <s v="Piyush Pillai"/>
    <x v="2"/>
    <x v="1"/>
    <s v="Associate"/>
    <x v="1"/>
    <n v="44"/>
    <s v="B.Sc"/>
    <s v="Active"/>
    <d v="2023-10-04T00:00:00"/>
    <n v="27.3"/>
    <n v="2315041"/>
    <n v="9.849999999999999E-2"/>
    <n v="2"/>
    <x v="1"/>
    <n v="9264897266"/>
    <s v="piyushpillai@company.com"/>
    <n v="25"/>
    <n v="17"/>
    <s v="EMP1058"/>
    <s v="Valid"/>
    <n v="10"/>
    <s v="Oct"/>
    <n v="2023"/>
    <n v="2"/>
    <s v="40-49"/>
    <x v="4"/>
    <x v="3"/>
    <n v="228031.53849999997"/>
    <x v="1"/>
  </r>
  <r>
    <s v="EMP1124"/>
    <s v="Nikhil Rao"/>
    <x v="4"/>
    <x v="0"/>
    <s v="Analyst"/>
    <x v="0"/>
    <n v="54"/>
    <s v="B.Tech"/>
    <s v="Active"/>
    <d v="2013-06-09T00:00:00"/>
    <n v="2.7"/>
    <n v="2379682"/>
    <n v="0.20030000000000001"/>
    <n v="4"/>
    <x v="0"/>
    <n v="8732061472"/>
    <s v="nikhilraoat-company.com"/>
    <n v="63"/>
    <n v="15"/>
    <s v="EMP1064"/>
    <s v="Invalid"/>
    <n v="6"/>
    <s v="Jun"/>
    <n v="2013"/>
    <n v="12"/>
    <s v="50+"/>
    <x v="4"/>
    <x v="0"/>
    <n v="476650.30460000003"/>
    <x v="0"/>
  </r>
  <r>
    <s v="EMP1453"/>
    <s v="Patel, Gaurav"/>
    <x v="0"/>
    <x v="0"/>
    <s v="Senior Analyst"/>
    <x v="1"/>
    <n v="42"/>
    <s v="MCA"/>
    <s v="Inactive"/>
    <d v="2015-12-07T00:00:00"/>
    <n v="16.899999999999999"/>
    <n v="2297275"/>
    <n v="0.20489999999999997"/>
    <n v="3"/>
    <x v="1"/>
    <n v="7983232694"/>
    <s v="patel,gaurav@company.com"/>
    <n v="60"/>
    <n v="40"/>
    <s v="EMP1066"/>
    <s v="Valid"/>
    <n v="12"/>
    <s v="Dec"/>
    <n v="2015"/>
    <n v="10"/>
    <s v="40-49"/>
    <x v="4"/>
    <x v="2"/>
    <n v="470711.6474999999"/>
    <x v="1"/>
  </r>
  <r>
    <s v="EMP1088"/>
    <s v="Amit Bose"/>
    <x v="2"/>
    <x v="0"/>
    <s v="Senior Manager"/>
    <x v="1"/>
    <n v="49"/>
    <s v="M.Tech"/>
    <s v="On Leave"/>
    <d v="2019-06-18T00:00:00"/>
    <n v="24.5"/>
    <n v="883993"/>
    <n v="0.16980000000000001"/>
    <n v="4"/>
    <x v="1"/>
    <n v="8242676804"/>
    <s v="amitboseat-company.com"/>
    <n v="52"/>
    <n v="35"/>
    <s v="EMP1084"/>
    <s v="Invalid"/>
    <n v="6"/>
    <s v="Jun"/>
    <n v="2019"/>
    <n v="6"/>
    <s v="40-49"/>
    <x v="1"/>
    <x v="0"/>
    <n v="150102.01140000002"/>
    <x v="1"/>
  </r>
  <r>
    <s v="EMP1227"/>
    <s v="Gaurav Malhotra"/>
    <x v="6"/>
    <x v="4"/>
    <s v="Director"/>
    <x v="1"/>
    <n v="23"/>
    <s v="MCA"/>
    <s v="Terminated"/>
    <d v="2021-11-08T00:00:00"/>
    <n v="20"/>
    <n v="446001"/>
    <n v="9.7100000000000006E-2"/>
    <n v="3"/>
    <x v="1"/>
    <n v="9943119201"/>
    <s v="gauravmalhotra@companycom"/>
    <n v="50"/>
    <n v="117"/>
    <s v="EMP1033"/>
    <s v="Invalid"/>
    <n v="11"/>
    <s v="Nov"/>
    <n v="2021"/>
    <n v="4"/>
    <s v="20-29"/>
    <x v="3"/>
    <x v="2"/>
    <n v="43306.697100000005"/>
    <x v="1"/>
  </r>
  <r>
    <s v="EMP1325"/>
    <s v="Ritu Shah"/>
    <x v="4"/>
    <x v="3"/>
    <s v="Manager"/>
    <x v="1"/>
    <n v="41"/>
    <s v="MCA"/>
    <s v="Active"/>
    <d v="2017-07-14T00:00:00"/>
    <n v="4.2"/>
    <n v="2405897"/>
    <n v="4.4199999999999996E-2"/>
    <n v="4"/>
    <x v="1"/>
    <n v="7486963383"/>
    <s v="ritushahat-company.com"/>
    <n v="69"/>
    <n v="36"/>
    <s v="EMP1085"/>
    <s v="Invalid"/>
    <n v="7"/>
    <s v="Jul"/>
    <n v="2017"/>
    <n v="8"/>
    <s v="40-49"/>
    <x v="4"/>
    <x v="0"/>
    <n v="106340.64739999999"/>
    <x v="0"/>
  </r>
  <r>
    <s v="EMP1250"/>
    <s v="Meera Bhat"/>
    <x v="6"/>
    <x v="0"/>
    <s v="Manager"/>
    <x v="1"/>
    <n v="26"/>
    <s v="Diploma"/>
    <s v="On Leave"/>
    <d v="2015-07-16T00:00:00"/>
    <n v="9.6"/>
    <n v="2051437"/>
    <n v="0.11230000000000001"/>
    <n v="5"/>
    <x v="1"/>
    <n v="9167944263"/>
    <s v="meerabhat@company.com"/>
    <n v="41"/>
    <n v="79"/>
    <s v="EMP1086"/>
    <s v="Valid"/>
    <n v="7"/>
    <s v="Jul"/>
    <n v="2015"/>
    <n v="10"/>
    <s v="20-29"/>
    <x v="4"/>
    <x v="1"/>
    <n v="230376.37510000003"/>
    <x v="2"/>
  </r>
  <r>
    <s v="EMP1239"/>
    <s v="Aarti Agarwal"/>
    <x v="6"/>
    <x v="0"/>
    <s v="Executive"/>
    <x v="1"/>
    <n v="27"/>
    <s v="B.Sc"/>
    <s v="Terminated"/>
    <d v="2013-01-07T00:00:00"/>
    <n v="24.6"/>
    <n v="358199"/>
    <n v="7.5199999999999989E-2"/>
    <n v="3"/>
    <x v="0"/>
    <n v="9688903570"/>
    <s v="aartiagarwal@company.com"/>
    <n v="60"/>
    <n v="14"/>
    <s v="EMP1022"/>
    <s v="Valid"/>
    <n v="1"/>
    <s v="Jan"/>
    <n v="2013"/>
    <n v="13"/>
    <s v="20-29"/>
    <x v="3"/>
    <x v="2"/>
    <n v="26936.564799999996"/>
    <x v="1"/>
  </r>
  <r>
    <s v="EMP1496"/>
    <s v="Karan Sharma"/>
    <x v="5"/>
    <x v="0"/>
    <s v="Senior Analyst"/>
    <x v="0"/>
    <n v="25"/>
    <s v="B.Tech"/>
    <s v="On Leave"/>
    <d v="2010-09-28T00:00:00"/>
    <n v="27"/>
    <n v="1447707"/>
    <n v="0.1381"/>
    <n v="5"/>
    <x v="0"/>
    <n v="9133033653"/>
    <s v="karansharma@company.com"/>
    <n v="30"/>
    <n v="49"/>
    <s v="EMP1072"/>
    <s v="Valid"/>
    <n v="9"/>
    <s v="Sep"/>
    <n v="2010"/>
    <n v="15"/>
    <s v="20-29"/>
    <x v="2"/>
    <x v="1"/>
    <n v="199928.33670000001"/>
    <x v="1"/>
  </r>
  <r>
    <s v="EMP1161"/>
    <s v="Mayur Verma"/>
    <x v="0"/>
    <x v="5"/>
    <s v="Director"/>
    <x v="0"/>
    <n v="55"/>
    <s v="CA"/>
    <s v="Terminated"/>
    <d v="2018-02-04T00:00:00"/>
    <n v="2.8"/>
    <n v="595229"/>
    <n v="4.4699999999999997E-2"/>
    <n v="4"/>
    <x v="1"/>
    <n v="9259977516"/>
    <s v="mayurverma@company.com"/>
    <n v="53"/>
    <n v="98"/>
    <s v="EMP1082"/>
    <s v="Valid"/>
    <n v="2"/>
    <s v="Feb"/>
    <n v="2018"/>
    <n v="8"/>
    <s v="50+"/>
    <x v="1"/>
    <x v="0"/>
    <n v="26606.736299999997"/>
    <x v="0"/>
  </r>
  <r>
    <s v="EMP1047"/>
    <s v="Swati Kapoor"/>
    <x v="6"/>
    <x v="4"/>
    <s v="Executive"/>
    <x v="0"/>
    <n v="55"/>
    <s v="MCA"/>
    <s v="Active"/>
    <d v="2013-06-25T00:00:00"/>
    <n v="1"/>
    <n v="2075895"/>
    <n v="0.13489999999999999"/>
    <n v="4"/>
    <x v="1"/>
    <n v="7331421524"/>
    <s v="swatikapoorat-company.com"/>
    <n v="67"/>
    <n v="43"/>
    <s v="EMP1099"/>
    <s v="Invalid"/>
    <n v="6"/>
    <s v="Jun"/>
    <n v="2013"/>
    <n v="12"/>
    <s v="50+"/>
    <x v="4"/>
    <x v="0"/>
    <n v="280038.23550000001"/>
    <x v="3"/>
  </r>
  <r>
    <s v="EMP1143"/>
    <s v="Rahul Menon"/>
    <x v="0"/>
    <x v="3"/>
    <s v="Senior Analyst"/>
    <x v="1"/>
    <n v="28"/>
    <s v="B.Sc"/>
    <s v="On Leave"/>
    <d v="2019-05-22T00:00:00"/>
    <n v="16.3"/>
    <n v="1363812"/>
    <n v="6.3399999999999998E-2"/>
    <n v="4"/>
    <x v="0"/>
    <n v="9072183247"/>
    <s v="rahulmenon@company.com"/>
    <n v="44"/>
    <n v="50"/>
    <s v="EMP1095"/>
    <s v="Valid"/>
    <n v="5"/>
    <s v="May"/>
    <n v="2019"/>
    <n v="6"/>
    <s v="20-29"/>
    <x v="2"/>
    <x v="0"/>
    <n v="86465.680800000002"/>
    <x v="1"/>
  </r>
  <r>
    <s v="EMP1406"/>
    <s v="Vivek Saxena"/>
    <x v="3"/>
    <x v="0"/>
    <s v="Executive"/>
    <x v="1"/>
    <n v="43"/>
    <s v="B.Com"/>
    <s v="Terminated"/>
    <d v="2016-01-25T00:00:00"/>
    <n v="13"/>
    <n v="1622659"/>
    <n v="4.8999999999999998E-3"/>
    <n v="1"/>
    <x v="1"/>
    <n v="9773658566"/>
    <s v="viveksaxena@company.com"/>
    <n v="26"/>
    <n v="32"/>
    <s v="EMP1038"/>
    <s v="Valid"/>
    <n v="1"/>
    <s v="Jan"/>
    <n v="2016"/>
    <n v="10"/>
    <s v="40-49"/>
    <x v="0"/>
    <x v="4"/>
    <n v="7951.0290999999997"/>
    <x v="1"/>
  </r>
  <r>
    <s v="EMP1311"/>
    <s v="Amit Singh"/>
    <x v="5"/>
    <x v="0"/>
    <s v="Analyst"/>
    <x v="0"/>
    <n v="36"/>
    <s v="M.Tech"/>
    <s v="Active"/>
    <d v="2020-07-22T00:00:00"/>
    <n v="9"/>
    <n v="918141"/>
    <n v="0.15390000000000001"/>
    <n v="2"/>
    <x v="1"/>
    <n v="7964316616"/>
    <s v="amitsingh@company.com"/>
    <n v="10"/>
    <n v="77"/>
    <s v="EMP1020"/>
    <s v="Valid"/>
    <n v="7"/>
    <s v="Jul"/>
    <n v="2020"/>
    <n v="5"/>
    <s v="30-39"/>
    <x v="1"/>
    <x v="3"/>
    <n v="141301.89990000002"/>
    <x v="2"/>
  </r>
  <r>
    <s v="EMP1063"/>
    <s v="Nitin Malhotra"/>
    <x v="4"/>
    <x v="5"/>
    <s v="Senior Consultant"/>
    <x v="0"/>
    <n v="34"/>
    <s v="CA"/>
    <s v="Contract"/>
    <d v="2014-05-23T00:00:00"/>
    <n v="7.1"/>
    <n v="1470237"/>
    <n v="3.0499999999999999E-2"/>
    <n v="4"/>
    <x v="1"/>
    <n v="9407275865"/>
    <s v="nitinmalhotra@company.com"/>
    <n v="48"/>
    <n v="50"/>
    <s v="EMP1045"/>
    <s v="Valid"/>
    <n v="5"/>
    <s v="May"/>
    <n v="2014"/>
    <n v="11"/>
    <s v="30-39"/>
    <x v="2"/>
    <x v="0"/>
    <n v="44842.228499999997"/>
    <x v="2"/>
  </r>
  <r>
    <s v="EMP1385"/>
    <s v="Bhavna Kumar"/>
    <x v="2"/>
    <x v="4"/>
    <s v="Lead"/>
    <x v="0"/>
    <n v="51"/>
    <s v="PhD"/>
    <s v="Active"/>
    <d v="2015-12-04T00:00:00"/>
    <n v="19.899999999999999"/>
    <n v="1861467"/>
    <n v="8.9499999999999996E-2"/>
    <n v="1"/>
    <x v="1"/>
    <n v="8437579139"/>
    <s v="bhavnakumar@company.com"/>
    <n v="69"/>
    <n v="2"/>
    <s v="EMP1057"/>
    <s v="Valid"/>
    <n v="12"/>
    <s v="Dec"/>
    <n v="2015"/>
    <n v="10"/>
    <s v="50+"/>
    <x v="0"/>
    <x v="4"/>
    <n v="166601.2965"/>
    <x v="1"/>
  </r>
  <r>
    <s v="EMP1028"/>
    <s v="Pallavi Mehta"/>
    <x v="6"/>
    <x v="0"/>
    <s v="Senior Manager"/>
    <x v="0"/>
    <n v="32"/>
    <s v="CA"/>
    <s v="Inactive"/>
    <d v="2024-02-15T00:00:00"/>
    <n v="3.2"/>
    <n v="357354"/>
    <n v="0.24510000000000001"/>
    <n v="3"/>
    <x v="1"/>
    <n v="9185588660"/>
    <s v="pallavimehta@company.com"/>
    <n v="70"/>
    <n v="24"/>
    <s v="EMP1077"/>
    <s v="Valid"/>
    <n v="2"/>
    <s v="Feb"/>
    <n v="2024"/>
    <n v="2"/>
    <s v="30-39"/>
    <x v="3"/>
    <x v="2"/>
    <n v="87587.465400000001"/>
    <x v="0"/>
  </r>
  <r>
    <s v="EMP1444"/>
    <s v="Kavya Joshi"/>
    <x v="4"/>
    <x v="0"/>
    <s v="Analyst"/>
    <x v="1"/>
    <n v="29"/>
    <s v="BBA"/>
    <s v="Inactive"/>
    <d v="2024-07-16T00:00:00"/>
    <n v="3.4"/>
    <n v="915079"/>
    <n v="0.1462"/>
    <n v="3"/>
    <x v="1"/>
    <n v="9955459324"/>
    <s v="kavyajoshiat-company.com"/>
    <n v="2"/>
    <n v="85"/>
    <s v="EMP1073"/>
    <s v="Invalid"/>
    <n v="7"/>
    <s v="Jul"/>
    <n v="2024"/>
    <n v="1"/>
    <s v="20-29"/>
    <x v="1"/>
    <x v="2"/>
    <n v="133784.54980000001"/>
    <x v="0"/>
  </r>
  <r>
    <s v="EMP1080"/>
    <s v="Arun Malhotra"/>
    <x v="3"/>
    <x v="1"/>
    <s v="Associate"/>
    <x v="0"/>
    <n v="49"/>
    <s v="MBA"/>
    <s v="Active"/>
    <d v="2013-12-21T00:00:00"/>
    <n v="2.8"/>
    <n v="1557252"/>
    <n v="0.155"/>
    <n v="5"/>
    <x v="1"/>
    <n v="7581923103"/>
    <s v="arunmalhotra@companycom"/>
    <n v="42"/>
    <n v="55"/>
    <s v="EMP1084"/>
    <s v="Invalid"/>
    <n v="12"/>
    <s v="Dec"/>
    <n v="2013"/>
    <n v="12"/>
    <s v="40-49"/>
    <x v="0"/>
    <x v="1"/>
    <n v="241374.06"/>
    <x v="0"/>
  </r>
  <r>
    <s v="EMP1205"/>
    <s v="Pallavi Kapoor"/>
    <x v="3"/>
    <x v="4"/>
    <s v="Director"/>
    <x v="1"/>
    <n v="52"/>
    <s v="Diploma"/>
    <s v="Active"/>
    <d v="2024-05-17T00:00:00"/>
    <n v="22.9"/>
    <n v="1179939"/>
    <n v="3.0699999999999998E-2"/>
    <n v="5"/>
    <x v="1"/>
    <n v="8482736884"/>
    <s v="pallavikapoor@companycom"/>
    <n v="68"/>
    <n v="57"/>
    <s v="EMP1080"/>
    <s v="Invalid"/>
    <n v="5"/>
    <s v="May"/>
    <n v="2024"/>
    <n v="1"/>
    <s v="50+"/>
    <x v="2"/>
    <x v="1"/>
    <n v="36224.1273"/>
    <x v="1"/>
  </r>
  <r>
    <s v="EMP1169"/>
    <s v="Meera Rao"/>
    <x v="3"/>
    <x v="5"/>
    <s v="Manager"/>
    <x v="0"/>
    <n v="57"/>
    <s v="B.Sc"/>
    <s v="Active"/>
    <d v="2011-12-13T00:00:00"/>
    <n v="27"/>
    <n v="1246162"/>
    <n v="7.8100000000000003E-2"/>
    <n v="5"/>
    <x v="1"/>
    <n v="8792433036"/>
    <s v="meeraraoat-company.com"/>
    <n v="57"/>
    <n v="26"/>
    <s v="EMP1084"/>
    <s v="Invalid"/>
    <n v="12"/>
    <s v="Dec"/>
    <n v="2011"/>
    <n v="14"/>
    <s v="50+"/>
    <x v="2"/>
    <x v="1"/>
    <n v="97325.252200000003"/>
    <x v="1"/>
  </r>
  <r>
    <s v="EMP1375"/>
    <s v="Hemant Saxena"/>
    <x v="3"/>
    <x v="0"/>
    <s v="Executive"/>
    <x v="1"/>
    <n v="42"/>
    <s v="B.Com"/>
    <s v="Active"/>
    <d v="2018-08-18T00:00:00"/>
    <n v="8.4"/>
    <n v="2005128"/>
    <n v="2.0400000000000001E-2"/>
    <n v="4"/>
    <x v="1"/>
    <n v="9209464812"/>
    <s v="hemantsaxena@companycom"/>
    <n v="9"/>
    <n v="96"/>
    <s v="EMP1002"/>
    <s v="Invalid"/>
    <n v="8"/>
    <s v="Aug"/>
    <n v="2018"/>
    <n v="7"/>
    <s v="40-49"/>
    <x v="4"/>
    <x v="0"/>
    <n v="40904.611199999999"/>
    <x v="2"/>
  </r>
  <r>
    <s v="EMP1366"/>
    <s v="Divya Saxena"/>
    <x v="0"/>
    <x v="4"/>
    <s v="Intern"/>
    <x v="0"/>
    <n v="46"/>
    <s v="BBA"/>
    <s v="On Leave"/>
    <d v="2024-12-07T00:00:00"/>
    <n v="1.7"/>
    <n v="1048330"/>
    <n v="7.2000000000000008E-2"/>
    <n v="5"/>
    <x v="1"/>
    <n v="8350197673"/>
    <s v="divyasaxena@company.com"/>
    <n v="28"/>
    <n v="36"/>
    <s v="EMP1034"/>
    <s v="Valid"/>
    <n v="12"/>
    <s v="Dec"/>
    <n v="2024"/>
    <n v="1"/>
    <s v="40-49"/>
    <x v="2"/>
    <x v="1"/>
    <n v="75479.760000000009"/>
    <x v="3"/>
  </r>
  <r>
    <s v="EMP1344"/>
    <s v="Amit Chatterjee"/>
    <x v="4"/>
    <x v="3"/>
    <s v="VP"/>
    <x v="0"/>
    <n v="38"/>
    <s v="B.Sc"/>
    <s v="Active"/>
    <d v="2022-10-05T00:00:00"/>
    <n v="13.4"/>
    <n v="1603320"/>
    <n v="0.14169999999999999"/>
    <n v="4"/>
    <x v="0"/>
    <n v="9380630664"/>
    <s v="amitchatterjeeat-company.com"/>
    <n v="69"/>
    <n v="100"/>
    <s v="EMP1056"/>
    <s v="Invalid"/>
    <n v="10"/>
    <s v="Oct"/>
    <n v="2022"/>
    <n v="3"/>
    <s v="30-39"/>
    <x v="0"/>
    <x v="0"/>
    <n v="227190.44399999999"/>
    <x v="1"/>
  </r>
  <r>
    <s v="EMP1417"/>
    <s v="Joshi, Deepak"/>
    <x v="4"/>
    <x v="4"/>
    <s v="Senior Analyst"/>
    <x v="0"/>
    <n v="22"/>
    <s v="B.Sc"/>
    <s v="On Leave"/>
    <d v="2019-07-15T00:00:00"/>
    <n v="6"/>
    <n v="2329392"/>
    <n v="0.12859999999999999"/>
    <n v="4"/>
    <x v="0"/>
    <n v="8889197205"/>
    <s v="joshi,deepak@company.com"/>
    <n v="23"/>
    <n v="103"/>
    <s v="EMP1063"/>
    <s v="Valid"/>
    <n v="7"/>
    <s v="Jul"/>
    <n v="2019"/>
    <n v="6"/>
    <s v="20-29"/>
    <x v="4"/>
    <x v="0"/>
    <n v="299559.8112"/>
    <x v="2"/>
  </r>
  <r>
    <s v="EMP1029"/>
    <s v="Suresh Agarwal"/>
    <x v="5"/>
    <x v="0"/>
    <s v="Director"/>
    <x v="0"/>
    <n v="41"/>
    <s v="B.Tech"/>
    <s v="Terminated"/>
    <d v="2015-09-25T00:00:00"/>
    <n v="13.7"/>
    <n v="2353700"/>
    <n v="0.19390000000000002"/>
    <n v="4"/>
    <x v="1"/>
    <n v="9995732958"/>
    <s v="sureshagarwal@company.com"/>
    <n v="60"/>
    <n v="103"/>
    <s v="EMP1049"/>
    <s v="Valid"/>
    <n v="9"/>
    <s v="Sep"/>
    <n v="2015"/>
    <n v="10"/>
    <s v="40-49"/>
    <x v="4"/>
    <x v="0"/>
    <n v="456382.43000000005"/>
    <x v="1"/>
  </r>
  <r>
    <s v="EMP1038"/>
    <s v="Tanvi Tiwari"/>
    <x v="1"/>
    <x v="5"/>
    <s v="VP"/>
    <x v="0"/>
    <n v="50"/>
    <s v="MBA"/>
    <s v="Contract"/>
    <d v="2019-11-19T00:00:00"/>
    <n v="4.9000000000000004"/>
    <n v="638859"/>
    <n v="2.4799999999999999E-2"/>
    <n v="3"/>
    <x v="1"/>
    <n v="9278724262"/>
    <s v="tanvitiwari@company.com"/>
    <n v="70"/>
    <n v="27"/>
    <s v="EMP1056"/>
    <s v="Valid"/>
    <n v="11"/>
    <s v="Nov"/>
    <n v="2019"/>
    <n v="6"/>
    <s v="50+"/>
    <x v="1"/>
    <x v="2"/>
    <n v="15843.7032"/>
    <x v="0"/>
  </r>
  <r>
    <s v="EMP1165"/>
    <s v="Alok Kapoor"/>
    <x v="6"/>
    <x v="0"/>
    <s v="Associate"/>
    <x v="1"/>
    <n v="40"/>
    <s v="M.Tech"/>
    <s v="On Leave"/>
    <d v="2010-09-13T00:00:00"/>
    <n v="2.9"/>
    <n v="920809"/>
    <n v="0.16309999999999999"/>
    <n v="3"/>
    <x v="1"/>
    <n v="7579265528"/>
    <s v="alokkapoorat-company.com"/>
    <n v="78"/>
    <n v="67"/>
    <s v="EMP1032"/>
    <s v="Invalid"/>
    <n v="9"/>
    <s v="Sep"/>
    <n v="2010"/>
    <n v="15"/>
    <s v="40-49"/>
    <x v="1"/>
    <x v="2"/>
    <n v="150183.9479"/>
    <x v="0"/>
  </r>
  <r>
    <s v="EMP1355"/>
    <s v="Sachin Singh"/>
    <x v="0"/>
    <x v="1"/>
    <s v="Senior Analyst"/>
    <x v="1"/>
    <n v="37"/>
    <s v="B.Sc"/>
    <s v="Active"/>
    <d v="2022-09-19T00:00:00"/>
    <n v="22.6"/>
    <n v="342151"/>
    <n v="7.85E-2"/>
    <n v="4"/>
    <x v="1"/>
    <n v="7243329601"/>
    <s v="sachinsinghat-company.com"/>
    <n v="31"/>
    <n v="16"/>
    <s v="EMP1078"/>
    <s v="Invalid"/>
    <n v="9"/>
    <s v="Sep"/>
    <n v="2022"/>
    <n v="3"/>
    <s v="30-39"/>
    <x v="3"/>
    <x v="0"/>
    <n v="26858.853500000001"/>
    <x v="1"/>
  </r>
  <r>
    <s v="EMP1353"/>
    <s v="Alok Iyer"/>
    <x v="6"/>
    <x v="4"/>
    <s v="Intern"/>
    <x v="1"/>
    <n v="24"/>
    <s v="BBA"/>
    <s v="Active"/>
    <d v="2013-09-27T00:00:00"/>
    <n v="26.7"/>
    <n v="1394214"/>
    <n v="0.20190000000000002"/>
    <n v="1"/>
    <x v="1"/>
    <n v="9421743905"/>
    <s v="alokiyerat-company.com"/>
    <n v="9"/>
    <n v="76"/>
    <s v="EMP1095"/>
    <s v="Invalid"/>
    <n v="9"/>
    <s v="Sep"/>
    <n v="2013"/>
    <n v="12"/>
    <s v="20-29"/>
    <x v="2"/>
    <x v="4"/>
    <n v="281491.80660000001"/>
    <x v="1"/>
  </r>
  <r>
    <s v="EMP1442"/>
    <s v="Swati Bose"/>
    <x v="6"/>
    <x v="5"/>
    <s v="Intern"/>
    <x v="0"/>
    <n v="35"/>
    <s v="B.Tech"/>
    <s v="Inactive"/>
    <d v="2017-01-23T00:00:00"/>
    <n v="28.1"/>
    <n v="957328"/>
    <n v="0.14380000000000001"/>
    <n v="5"/>
    <x v="1"/>
    <n v="9923284290"/>
    <s v="swatibose@companycom"/>
    <n v="19"/>
    <n v="59"/>
    <s v="EMP1032"/>
    <s v="Invalid"/>
    <n v="1"/>
    <s v="Jan"/>
    <n v="2017"/>
    <n v="9"/>
    <s v="30-39"/>
    <x v="1"/>
    <x v="1"/>
    <n v="137663.76640000002"/>
    <x v="1"/>
  </r>
  <r>
    <s v="EMP1370"/>
    <s v="Neha Bhat"/>
    <x v="0"/>
    <x v="0"/>
    <s v="Director"/>
    <x v="1"/>
    <n v="33"/>
    <s v="B.Sc"/>
    <s v="Active"/>
    <d v="2012-08-27T00:00:00"/>
    <n v="10.8"/>
    <n v="1637588"/>
    <n v="0.2127"/>
    <n v="4"/>
    <x v="1"/>
    <n v="7124393191"/>
    <s v="nehabhat@companycom"/>
    <n v="71"/>
    <n v="33"/>
    <s v="EMP1087"/>
    <s v="Invalid"/>
    <n v="8"/>
    <s v="Aug"/>
    <n v="2012"/>
    <n v="13"/>
    <s v="30-39"/>
    <x v="0"/>
    <x v="0"/>
    <n v="348314.96759999997"/>
    <x v="1"/>
  </r>
  <r>
    <s v="EMP1121"/>
    <s v="Rekha Kumar"/>
    <x v="2"/>
    <x v="4"/>
    <s v="Lead"/>
    <x v="1"/>
    <n v="43"/>
    <s v="M.Tech"/>
    <s v="Contract"/>
    <d v="2020-08-05T00:00:00"/>
    <n v="27.3"/>
    <n v="353474"/>
    <n v="7.400000000000001E-2"/>
    <n v="4"/>
    <x v="1"/>
    <n v="8099048201"/>
    <s v="rekhakumar@companycom"/>
    <n v="12"/>
    <n v="111"/>
    <s v="EMP1006"/>
    <s v="Invalid"/>
    <n v="8"/>
    <s v="Aug"/>
    <n v="2020"/>
    <n v="5"/>
    <s v="40-49"/>
    <x v="3"/>
    <x v="0"/>
    <n v="26157.076000000005"/>
    <x v="1"/>
  </r>
  <r>
    <s v="EMP1331"/>
    <s v="Kavya Kumar"/>
    <x v="3"/>
    <x v="4"/>
    <s v="Director"/>
    <x v="0"/>
    <n v="30"/>
    <s v="M.Tech"/>
    <s v="Active"/>
    <d v="2020-05-15T00:00:00"/>
    <n v="3.2"/>
    <n v="2319871"/>
    <n v="0.2218"/>
    <n v="4"/>
    <x v="0"/>
    <n v="7829161660"/>
    <s v="kavyakumarat-company.com"/>
    <n v="50"/>
    <n v="101"/>
    <s v="EMP1099"/>
    <s v="Invalid"/>
    <n v="5"/>
    <s v="May"/>
    <n v="2020"/>
    <n v="5"/>
    <s v="30-39"/>
    <x v="4"/>
    <x v="0"/>
    <n v="514547.38779999997"/>
    <x v="0"/>
  </r>
  <r>
    <s v="EMP1225"/>
    <s v="Priya Rao"/>
    <x v="1"/>
    <x v="0"/>
    <s v="VP"/>
    <x v="0"/>
    <n v="32"/>
    <s v="B.Tech"/>
    <s v="Inactive"/>
    <d v="2012-11-28T00:00:00"/>
    <n v="24.2"/>
    <n v="422229"/>
    <n v="0.1018"/>
    <n v="1"/>
    <x v="1"/>
    <n v="8348210721"/>
    <s v="priyarao@companycom"/>
    <n v="11"/>
    <n v="107"/>
    <s v="EMP1093"/>
    <s v="Invalid"/>
    <n v="11"/>
    <s v="Nov"/>
    <n v="2012"/>
    <n v="13"/>
    <s v="30-39"/>
    <x v="3"/>
    <x v="4"/>
    <n v="42982.912199999999"/>
    <x v="1"/>
  </r>
  <r>
    <s v="EMP1113"/>
    <s v="Alok Desai"/>
    <x v="2"/>
    <x v="1"/>
    <s v="Director"/>
    <x v="1"/>
    <n v="33"/>
    <s v="CA"/>
    <s v="Contract"/>
    <d v="2024-05-24T00:00:00"/>
    <n v="10.8"/>
    <n v="2290542"/>
    <n v="5.3600000000000002E-2"/>
    <n v="2"/>
    <x v="0"/>
    <n v="7213249628"/>
    <s v="alokdesai@company.com"/>
    <n v="28"/>
    <n v="34"/>
    <s v="EMP1084"/>
    <s v="Valid"/>
    <n v="5"/>
    <s v="May"/>
    <n v="2024"/>
    <n v="1"/>
    <s v="30-39"/>
    <x v="4"/>
    <x v="3"/>
    <n v="122773.0512"/>
    <x v="1"/>
  </r>
  <r>
    <s v="EMP1083"/>
    <s v="Tejas Gupta"/>
    <x v="2"/>
    <x v="4"/>
    <s v="Executive"/>
    <x v="1"/>
    <n v="50"/>
    <s v="Diploma"/>
    <s v="Inactive"/>
    <d v="2015-01-16T00:00:00"/>
    <n v="17.899999999999999"/>
    <n v="2242227"/>
    <n v="7.8E-2"/>
    <n v="3"/>
    <x v="1"/>
    <n v="7498513988"/>
    <s v="tejasgupta@company.com"/>
    <n v="26"/>
    <n v="44"/>
    <s v="EMP1061"/>
    <s v="Valid"/>
    <n v="1"/>
    <s v="Jan"/>
    <n v="2015"/>
    <n v="11"/>
    <s v="50+"/>
    <x v="4"/>
    <x v="2"/>
    <n v="174893.70600000001"/>
    <x v="1"/>
  </r>
  <r>
    <s v="EMP1139"/>
    <s v="Rajesh Shah"/>
    <x v="2"/>
    <x v="0"/>
    <s v="Executive"/>
    <x v="0"/>
    <n v="44"/>
    <s v="M.Tech"/>
    <s v="On Leave"/>
    <d v="2018-03-15T00:00:00"/>
    <n v="14.7"/>
    <n v="1747170"/>
    <n v="0.17929999999999999"/>
    <n v="2"/>
    <x v="1"/>
    <n v="7908459040"/>
    <s v="rajeshshah@companycom"/>
    <n v="29"/>
    <n v="42"/>
    <s v="EMP1093"/>
    <s v="Invalid"/>
    <n v="3"/>
    <s v="Mar"/>
    <n v="2018"/>
    <n v="8"/>
    <s v="40-49"/>
    <x v="0"/>
    <x v="3"/>
    <n v="313267.58100000001"/>
    <x v="1"/>
  </r>
  <r>
    <s v="EMP1304"/>
    <s v="Nitin Kapoor"/>
    <x v="2"/>
    <x v="4"/>
    <s v="Manager"/>
    <x v="0"/>
    <n v="35"/>
    <s v="B.Tech"/>
    <s v="On Leave"/>
    <d v="2017-06-11T00:00:00"/>
    <n v="3.5"/>
    <n v="1475073"/>
    <n v="0.1857"/>
    <n v="2"/>
    <x v="0"/>
    <n v="7559668981"/>
    <s v="nitinkapoor@company.com"/>
    <n v="77"/>
    <n v="83"/>
    <s v="EMP1036"/>
    <s v="Valid"/>
    <n v="6"/>
    <s v="Jun"/>
    <n v="2017"/>
    <n v="8"/>
    <s v="30-39"/>
    <x v="2"/>
    <x v="3"/>
    <n v="273921.05609999999"/>
    <x v="0"/>
  </r>
  <r>
    <s v="EMP1231"/>
    <s v="Smita Desai"/>
    <x v="4"/>
    <x v="1"/>
    <s v="Executive"/>
    <x v="1"/>
    <n v="48"/>
    <s v="B.Sc"/>
    <s v="Active"/>
    <d v="2024-04-12T00:00:00"/>
    <n v="8.1999999999999993"/>
    <n v="420683"/>
    <n v="5.3099999999999994E-2"/>
    <n v="4"/>
    <x v="1"/>
    <n v="7572110839"/>
    <s v="smitadesai@companycom"/>
    <n v="54"/>
    <n v="32"/>
    <s v="EMP1010"/>
    <s v="Invalid"/>
    <n v="4"/>
    <s v="Apr"/>
    <n v="2024"/>
    <n v="1"/>
    <s v="40-49"/>
    <x v="3"/>
    <x v="0"/>
    <n v="22338.267299999996"/>
    <x v="2"/>
  </r>
  <r>
    <s v="EMP1115"/>
    <s v="Geeta Singh"/>
    <x v="3"/>
    <x v="3"/>
    <s v="Director"/>
    <x v="0"/>
    <n v="34"/>
    <s v="BBA"/>
    <s v="Terminated"/>
    <d v="2019-07-22T00:00:00"/>
    <n v="24.3"/>
    <n v="1307899"/>
    <n v="0.18420000000000003"/>
    <n v="3"/>
    <x v="1"/>
    <n v="8269612255"/>
    <s v="geetasingh@company.com"/>
    <n v="73"/>
    <n v="43"/>
    <s v="EMP1093"/>
    <s v="Valid"/>
    <n v="7"/>
    <s v="Jul"/>
    <n v="2019"/>
    <n v="6"/>
    <s v="30-39"/>
    <x v="2"/>
    <x v="2"/>
    <n v="240914.99580000003"/>
    <x v="1"/>
  </r>
  <r>
    <s v="EMP1156"/>
    <s v="Smita Kumar"/>
    <x v="6"/>
    <x v="0"/>
    <s v="Director"/>
    <x v="1"/>
    <n v="27"/>
    <s v="B.Tech"/>
    <s v="On Leave"/>
    <d v="2017-03-07T00:00:00"/>
    <n v="23.4"/>
    <n v="912736"/>
    <n v="0.1928"/>
    <n v="5"/>
    <x v="0"/>
    <n v="7523820885"/>
    <s v="smitakumar@company.com"/>
    <n v="4"/>
    <n v="94"/>
    <s v="EMP1099"/>
    <s v="Valid"/>
    <n v="3"/>
    <s v="Mar"/>
    <n v="2017"/>
    <n v="9"/>
    <s v="20-29"/>
    <x v="1"/>
    <x v="1"/>
    <n v="175975.50080000001"/>
    <x v="1"/>
  </r>
  <r>
    <s v="EMP1498"/>
    <s v="Bhavna Banerjee"/>
    <x v="2"/>
    <x v="4"/>
    <s v="Associate"/>
    <x v="1"/>
    <n v="54"/>
    <s v="MBA"/>
    <s v="Contract"/>
    <d v="2012-07-26T00:00:00"/>
    <n v="11"/>
    <n v="1467277"/>
    <n v="4.0099999999999997E-2"/>
    <n v="5"/>
    <x v="1"/>
    <n v="7371189092"/>
    <s v="bhavnabanerjeeat-company.com"/>
    <n v="68"/>
    <n v="118"/>
    <s v="EMP1097"/>
    <s v="Invalid"/>
    <n v="7"/>
    <s v="Jul"/>
    <n v="2012"/>
    <n v="13"/>
    <s v="50+"/>
    <x v="2"/>
    <x v="1"/>
    <n v="58837.807699999998"/>
    <x v="1"/>
  </r>
  <r>
    <s v="EMP1243"/>
    <s v="Bhavna Bhat"/>
    <x v="5"/>
    <x v="2"/>
    <s v="Lead"/>
    <x v="1"/>
    <n v="51"/>
    <s v="B.Tech"/>
    <s v="Contract"/>
    <d v="2023-02-27T00:00:00"/>
    <n v="23.6"/>
    <n v="765277"/>
    <n v="0.17699999999999999"/>
    <n v="4"/>
    <x v="1"/>
    <n v="7882127124"/>
    <s v="bhavnabhat@company.com"/>
    <n v="63"/>
    <n v="12"/>
    <s v="EMP1020"/>
    <s v="Valid"/>
    <n v="2"/>
    <s v="Feb"/>
    <n v="2023"/>
    <n v="3"/>
    <s v="50+"/>
    <x v="1"/>
    <x v="0"/>
    <n v="135454.02899999998"/>
    <x v="1"/>
  </r>
  <r>
    <s v="EMP1399"/>
    <s v="Saxena, Nikhil"/>
    <x v="0"/>
    <x v="2"/>
    <s v="Lead"/>
    <x v="1"/>
    <n v="28"/>
    <s v="B.Sc"/>
    <s v="Active"/>
    <d v="2021-03-12T00:00:00"/>
    <n v="17.600000000000001"/>
    <n v="1401001"/>
    <n v="0.1734"/>
    <n v="3"/>
    <x v="1"/>
    <n v="9072712577"/>
    <s v="saxena,nikhil@company.com"/>
    <n v="62"/>
    <n v="96"/>
    <s v="EMP1034"/>
    <s v="Valid"/>
    <n v="3"/>
    <s v="Mar"/>
    <n v="2021"/>
    <n v="5"/>
    <s v="20-29"/>
    <x v="2"/>
    <x v="2"/>
    <n v="242933.57339999999"/>
    <x v="1"/>
  </r>
  <r>
    <s v="EMP1488"/>
    <s v="Smita Singh"/>
    <x v="0"/>
    <x v="3"/>
    <s v="Senior Consultant"/>
    <x v="1"/>
    <n v="58"/>
    <s v="PhD"/>
    <s v="Terminated"/>
    <d v="2020-12-19T00:00:00"/>
    <n v="10.1"/>
    <n v="1686636"/>
    <n v="8.199999999999999E-2"/>
    <n v="5"/>
    <x v="1"/>
    <n v="7971516837"/>
    <s v="smitasinghat-company.com"/>
    <n v="63"/>
    <n v="51"/>
    <s v="EMP1007"/>
    <s v="Invalid"/>
    <n v="12"/>
    <s v="Dec"/>
    <n v="2020"/>
    <n v="5"/>
    <s v="50+"/>
    <x v="0"/>
    <x v="1"/>
    <n v="138304.15199999997"/>
    <x v="1"/>
  </r>
  <r>
    <s v="EMP1361"/>
    <s v="Amit Pandey"/>
    <x v="1"/>
    <x v="0"/>
    <s v="Senior Manager"/>
    <x v="1"/>
    <n v="42"/>
    <s v="M.Tech"/>
    <s v="Inactive"/>
    <d v="2010-06-20T00:00:00"/>
    <n v="13.1"/>
    <n v="2044703"/>
    <n v="4.0099999999999997E-2"/>
    <n v="3"/>
    <x v="1"/>
    <n v="9021576811"/>
    <s v="amitpandey@company.com"/>
    <n v="19"/>
    <n v="3"/>
    <s v="EMP1014"/>
    <s v="Valid"/>
    <n v="6"/>
    <s v="Jun"/>
    <n v="2010"/>
    <n v="15"/>
    <s v="40-49"/>
    <x v="4"/>
    <x v="2"/>
    <n v="81992.590299999996"/>
    <x v="1"/>
  </r>
  <r>
    <s v="EMP1324"/>
    <s v="Kavya Gupta"/>
    <x v="6"/>
    <x v="2"/>
    <s v="Senior Consultant"/>
    <x v="1"/>
    <n v="51"/>
    <s v="B.Tech"/>
    <s v="Active"/>
    <d v="2016-05-17T00:00:00"/>
    <n v="3.9"/>
    <n v="2394826"/>
    <n v="5.4699999999999999E-2"/>
    <n v="4"/>
    <x v="1"/>
    <n v="9724267917"/>
    <s v="kavyagupta@company.com"/>
    <n v="53"/>
    <n v="99"/>
    <s v="EMP1022"/>
    <s v="Valid"/>
    <n v="5"/>
    <s v="May"/>
    <n v="2016"/>
    <n v="9"/>
    <s v="50+"/>
    <x v="4"/>
    <x v="0"/>
    <n v="130996.9822"/>
    <x v="0"/>
  </r>
  <r>
    <s v="EMP1322"/>
    <s v="Ankit Chatterjee"/>
    <x v="2"/>
    <x v="1"/>
    <s v="Associate"/>
    <x v="0"/>
    <n v="52"/>
    <s v="Diploma"/>
    <s v="Active"/>
    <d v="2016-01-26T00:00:00"/>
    <n v="1.4"/>
    <n v="1195358"/>
    <n v="0.1709"/>
    <n v="3"/>
    <x v="1"/>
    <n v="7232261179"/>
    <s v="ankitchatterjee@company.com"/>
    <n v="22"/>
    <n v="8"/>
    <s v="EMP1036"/>
    <s v="Valid"/>
    <n v="1"/>
    <s v="Jan"/>
    <n v="2016"/>
    <n v="10"/>
    <s v="50+"/>
    <x v="2"/>
    <x v="2"/>
    <n v="204286.68219999998"/>
    <x v="3"/>
  </r>
  <r>
    <s v="EMP1105"/>
    <s v="Pooja Desai"/>
    <x v="2"/>
    <x v="4"/>
    <s v="Senior Consultant"/>
    <x v="0"/>
    <n v="58"/>
    <s v="CA"/>
    <s v="On Leave"/>
    <d v="2019-02-16T00:00:00"/>
    <n v="29"/>
    <n v="1634698"/>
    <n v="0.16750000000000001"/>
    <n v="2"/>
    <x v="1"/>
    <n v="7721070971"/>
    <s v="poojadesai@companycom"/>
    <n v="42"/>
    <n v="33"/>
    <s v="EMP1027"/>
    <s v="Invalid"/>
    <n v="2"/>
    <s v="Feb"/>
    <n v="2019"/>
    <n v="7"/>
    <s v="50+"/>
    <x v="0"/>
    <x v="3"/>
    <n v="273811.91500000004"/>
    <x v="1"/>
  </r>
  <r>
    <s v="EMP1149"/>
    <s v="Vishal Verma"/>
    <x v="4"/>
    <x v="5"/>
    <s v="Analyst"/>
    <x v="1"/>
    <n v="42"/>
    <s v="MBA"/>
    <s v="Contract"/>
    <d v="2015-10-28T00:00:00"/>
    <n v="11.7"/>
    <n v="349576"/>
    <n v="0.12470000000000001"/>
    <n v="4"/>
    <x v="1"/>
    <n v="9024412906"/>
    <s v="vishalvermaat-company.com"/>
    <n v="47"/>
    <n v="51"/>
    <s v="EMP1036"/>
    <s v="Invalid"/>
    <n v="10"/>
    <s v="Oct"/>
    <n v="2015"/>
    <n v="10"/>
    <s v="40-49"/>
    <x v="3"/>
    <x v="0"/>
    <n v="43592.127200000003"/>
    <x v="1"/>
  </r>
  <r>
    <s v="EMP1235"/>
    <s v="Kavya Sharma"/>
    <x v="4"/>
    <x v="0"/>
    <s v="Associate"/>
    <x v="0"/>
    <n v="43"/>
    <s v="CA"/>
    <s v="Active"/>
    <d v="2022-10-05T00:00:00"/>
    <n v="22.1"/>
    <n v="2200447"/>
    <n v="0.23800000000000002"/>
    <n v="1"/>
    <x v="1"/>
    <n v="8388008205"/>
    <s v="kavyasharma@companycom"/>
    <n v="51"/>
    <n v="30"/>
    <s v="EMP1099"/>
    <s v="Invalid"/>
    <n v="10"/>
    <s v="Oct"/>
    <n v="2022"/>
    <n v="3"/>
    <s v="40-49"/>
    <x v="4"/>
    <x v="4"/>
    <n v="523706.38600000006"/>
    <x v="1"/>
  </r>
  <r>
    <s v="EMP1376"/>
    <s v="Varsha Singh"/>
    <x v="2"/>
    <x v="4"/>
    <s v="VP"/>
    <x v="1"/>
    <n v="30"/>
    <s v="B.Com"/>
    <s v="Contract"/>
    <d v="2014-12-22T00:00:00"/>
    <n v="9.3000000000000007"/>
    <n v="2053837"/>
    <n v="0.17129999999999998"/>
    <n v="3"/>
    <x v="1"/>
    <n v="9421547141"/>
    <s v="varshasinghat-company.com"/>
    <n v="47"/>
    <n v="32"/>
    <s v="EMP1061"/>
    <s v="Invalid"/>
    <n v="12"/>
    <s v="Dec"/>
    <n v="2014"/>
    <n v="11"/>
    <s v="30-39"/>
    <x v="4"/>
    <x v="2"/>
    <n v="351822.27809999994"/>
    <x v="2"/>
  </r>
  <r>
    <s v="EMP1032"/>
    <s v="Mayur Nair"/>
    <x v="6"/>
    <x v="0"/>
    <s v="Executive"/>
    <x v="0"/>
    <n v="44"/>
    <s v="MBA"/>
    <s v="Contract"/>
    <d v="2023-05-07T00:00:00"/>
    <n v="13"/>
    <n v="1554743"/>
    <n v="7.3800000000000004E-2"/>
    <n v="4"/>
    <x v="0"/>
    <n v="9456389272"/>
    <s v="mayurnairat-company.com"/>
    <n v="50"/>
    <n v="72"/>
    <s v="EMP1088"/>
    <s v="Invalid"/>
    <n v="5"/>
    <s v="May"/>
    <n v="2023"/>
    <n v="2"/>
    <s v="40-49"/>
    <x v="0"/>
    <x v="0"/>
    <n v="114740.0334"/>
    <x v="1"/>
  </r>
  <r>
    <s v="EMP1412"/>
    <s v="Priya Mehta"/>
    <x v="2"/>
    <x v="5"/>
    <s v="VP"/>
    <x v="0"/>
    <n v="46"/>
    <s v="PhD"/>
    <s v="Inactive"/>
    <d v="2023-02-03T00:00:00"/>
    <n v="6.6"/>
    <n v="2139398"/>
    <n v="0.12230000000000001"/>
    <n v="4"/>
    <x v="0"/>
    <n v="7522713644"/>
    <s v="priyamehtaat-company.com"/>
    <n v="40"/>
    <n v="26"/>
    <s v="EMP1012"/>
    <s v="Invalid"/>
    <n v="2"/>
    <s v="Feb"/>
    <n v="2023"/>
    <n v="3"/>
    <s v="40-49"/>
    <x v="4"/>
    <x v="0"/>
    <n v="261648.37540000002"/>
    <x v="2"/>
  </r>
  <r>
    <s v="EMP1222"/>
    <s v="Arun Sharma"/>
    <x v="4"/>
    <x v="5"/>
    <s v="VP"/>
    <x v="0"/>
    <n v="52"/>
    <s v="BBA"/>
    <s v="Active"/>
    <d v="2022-08-04T00:00:00"/>
    <n v="12"/>
    <n v="1627557"/>
    <n v="0.24239999999999998"/>
    <n v="4"/>
    <x v="0"/>
    <n v="9866407741"/>
    <s v="arunsharma@company.com"/>
    <n v="9"/>
    <n v="68"/>
    <s v="EMP1028"/>
    <s v="Valid"/>
    <n v="8"/>
    <s v="Aug"/>
    <n v="2022"/>
    <n v="3"/>
    <s v="50+"/>
    <x v="0"/>
    <x v="0"/>
    <n v="394519.81679999997"/>
    <x v="1"/>
  </r>
  <r>
    <s v="EMP1326"/>
    <s v="Preeti Tiwari"/>
    <x v="5"/>
    <x v="4"/>
    <s v="Senior Manager"/>
    <x v="1"/>
    <n v="48"/>
    <s v="MBA"/>
    <s v="Active"/>
    <d v="2020-05-28T00:00:00"/>
    <n v="15.3"/>
    <n v="718180"/>
    <n v="8.77E-2"/>
    <n v="4"/>
    <x v="0"/>
    <n v="8636725415"/>
    <s v="preetitiwari@company.com"/>
    <n v="59"/>
    <n v="105"/>
    <s v="EMP1083"/>
    <s v="Valid"/>
    <n v="5"/>
    <s v="May"/>
    <n v="2020"/>
    <n v="5"/>
    <s v="40-49"/>
    <x v="1"/>
    <x v="0"/>
    <n v="62984.385999999999"/>
    <x v="1"/>
  </r>
  <r>
    <s v="EMP1346"/>
    <s v="Rahul Bose"/>
    <x v="1"/>
    <x v="5"/>
    <s v="Manager"/>
    <x v="1"/>
    <n v="28"/>
    <s v="B.Tech"/>
    <s v="Terminated"/>
    <d v="2023-01-04T00:00:00"/>
    <n v="17.2"/>
    <n v="708521"/>
    <n v="0.12380000000000001"/>
    <n v="4"/>
    <x v="0"/>
    <n v="7880745100"/>
    <s v="rahulbose@company.com"/>
    <n v="19"/>
    <n v="39"/>
    <s v="EMP1093"/>
    <s v="Valid"/>
    <n v="1"/>
    <s v="Jan"/>
    <n v="2023"/>
    <n v="3"/>
    <s v="20-29"/>
    <x v="1"/>
    <x v="0"/>
    <n v="87714.899799999999"/>
    <x v="1"/>
  </r>
  <r>
    <s v="EMP1224"/>
    <s v="Pooja Menon"/>
    <x v="5"/>
    <x v="2"/>
    <s v="Associate"/>
    <x v="0"/>
    <n v="58"/>
    <s v="Diploma"/>
    <s v="On Leave"/>
    <d v="2012-12-22T00:00:00"/>
    <n v="11.2"/>
    <n v="551161"/>
    <n v="7.1800000000000003E-2"/>
    <n v="3"/>
    <x v="1"/>
    <n v="9722697824"/>
    <s v="poojamenonat-company.com"/>
    <n v="76"/>
    <n v="30"/>
    <s v="EMP1015"/>
    <s v="Invalid"/>
    <n v="12"/>
    <s v="Dec"/>
    <n v="2012"/>
    <n v="13"/>
    <s v="50+"/>
    <x v="1"/>
    <x v="2"/>
    <n v="39573.359799999998"/>
    <x v="1"/>
  </r>
  <r>
    <s v="EMP1479"/>
    <s v="Priya Pillai"/>
    <x v="4"/>
    <x v="0"/>
    <s v="VP"/>
    <x v="1"/>
    <n v="53"/>
    <s v="MCA"/>
    <s v="Active"/>
    <d v="2021-02-20T00:00:00"/>
    <n v="18.399999999999999"/>
    <n v="1926973"/>
    <n v="6.2199999999999998E-2"/>
    <n v="3"/>
    <x v="0"/>
    <n v="7889620495"/>
    <s v="priyapillai@company.com"/>
    <n v="29"/>
    <n v="112"/>
    <s v="EMP1061"/>
    <s v="Valid"/>
    <n v="2"/>
    <s v="Feb"/>
    <n v="2021"/>
    <n v="5"/>
    <s v="50+"/>
    <x v="0"/>
    <x v="2"/>
    <n v="119857.7206"/>
    <x v="1"/>
  </r>
  <r>
    <s v="EMP1251"/>
    <s v="Rajesh Rao"/>
    <x v="2"/>
    <x v="3"/>
    <s v="Associate"/>
    <x v="0"/>
    <n v="23"/>
    <s v="MBA"/>
    <s v="Active"/>
    <d v="2013-10-18T00:00:00"/>
    <n v="4.2"/>
    <n v="1595402"/>
    <n v="3.0099999999999998E-2"/>
    <n v="1"/>
    <x v="0"/>
    <n v="7813449059"/>
    <s v="rajeshraoat-company.com"/>
    <n v="23"/>
    <n v="35"/>
    <s v="EMP1027"/>
    <s v="Invalid"/>
    <n v="10"/>
    <s v="Oct"/>
    <n v="2013"/>
    <n v="12"/>
    <s v="20-29"/>
    <x v="0"/>
    <x v="4"/>
    <n v="48021.600200000001"/>
    <x v="0"/>
  </r>
  <r>
    <s v="EMP1125"/>
    <s v="Priya Singh"/>
    <x v="1"/>
    <x v="4"/>
    <s v="Senior Manager"/>
    <x v="0"/>
    <n v="51"/>
    <s v="Diploma"/>
    <s v="Inactive"/>
    <d v="2015-09-25T00:00:00"/>
    <n v="24.6"/>
    <n v="1823968"/>
    <n v="5.0000000000000001E-4"/>
    <n v="4"/>
    <x v="1"/>
    <n v="8943612110"/>
    <s v="priyasingh@company.com"/>
    <n v="37"/>
    <n v="47"/>
    <s v="EMP1090"/>
    <s v="Valid"/>
    <n v="9"/>
    <s v="Sep"/>
    <n v="2015"/>
    <n v="10"/>
    <s v="50+"/>
    <x v="0"/>
    <x v="0"/>
    <n v="911.98400000000004"/>
    <x v="1"/>
  </r>
  <r>
    <s v="EMP1429"/>
    <s v="Archana Mehta"/>
    <x v="6"/>
    <x v="1"/>
    <s v="Intern"/>
    <x v="0"/>
    <n v="49"/>
    <s v="B.Tech"/>
    <s v="Contract"/>
    <d v="2018-12-22T00:00:00"/>
    <n v="6.8"/>
    <n v="859338"/>
    <n v="0.1467"/>
    <n v="4"/>
    <x v="0"/>
    <n v="8748661598"/>
    <s v="archanamehta@company.com"/>
    <n v="78"/>
    <n v="96"/>
    <s v="EMP1046"/>
    <s v="Valid"/>
    <n v="12"/>
    <s v="Dec"/>
    <n v="2018"/>
    <n v="7"/>
    <s v="40-49"/>
    <x v="1"/>
    <x v="0"/>
    <n v="126064.88459999999"/>
    <x v="2"/>
  </r>
  <r>
    <s v="EMP1181"/>
    <s v="Rekha Iyer"/>
    <x v="5"/>
    <x v="4"/>
    <s v="Lead"/>
    <x v="0"/>
    <n v="51"/>
    <s v="M.Tech"/>
    <s v="Active"/>
    <d v="2023-10-28T00:00:00"/>
    <n v="9.6999999999999993"/>
    <n v="2490873"/>
    <n v="0.1444"/>
    <n v="4"/>
    <x v="1"/>
    <n v="9235864235"/>
    <s v="rekhaiyer@company.com"/>
    <n v="26"/>
    <n v="24"/>
    <s v="EMP1037"/>
    <s v="Valid"/>
    <n v="10"/>
    <s v="Oct"/>
    <n v="2023"/>
    <n v="2"/>
    <s v="50+"/>
    <x v="4"/>
    <x v="0"/>
    <n v="359682.0612"/>
    <x v="2"/>
  </r>
  <r>
    <s v="EMP1319"/>
    <s v="Geeta Tiwari"/>
    <x v="1"/>
    <x v="0"/>
    <s v="Senior Consultant"/>
    <x v="1"/>
    <n v="43"/>
    <s v="PhD"/>
    <s v="Active"/>
    <d v="2013-04-20T00:00:00"/>
    <n v="21.5"/>
    <n v="2107331"/>
    <n v="7.7399999999999997E-2"/>
    <n v="3"/>
    <x v="1"/>
    <n v="7418355752"/>
    <s v="geetatiwari@company.com"/>
    <n v="11"/>
    <n v="58"/>
    <s v="EMP1041"/>
    <s v="Valid"/>
    <n v="4"/>
    <s v="Apr"/>
    <n v="2013"/>
    <n v="12"/>
    <s v="40-49"/>
    <x v="4"/>
    <x v="2"/>
    <n v="163107.41939999998"/>
    <x v="1"/>
  </r>
  <r>
    <s v="EMP1104"/>
    <s v="Suresh Gupta"/>
    <x v="5"/>
    <x v="5"/>
    <s v="Director"/>
    <x v="0"/>
    <n v="31"/>
    <s v="B.Tech"/>
    <s v="Active"/>
    <d v="2016-10-04T00:00:00"/>
    <n v="11.5"/>
    <n v="1830458"/>
    <n v="4.36E-2"/>
    <n v="3"/>
    <x v="1"/>
    <n v="8876335418"/>
    <s v="sureshgupta@company.com"/>
    <n v="78"/>
    <n v="28"/>
    <s v="EMP1086"/>
    <s v="Valid"/>
    <n v="10"/>
    <s v="Oct"/>
    <n v="2016"/>
    <n v="9"/>
    <s v="30-39"/>
    <x v="0"/>
    <x v="2"/>
    <n v="79807.968800000002"/>
    <x v="1"/>
  </r>
  <r>
    <s v="EMP1228"/>
    <s v="Tejas Rao"/>
    <x v="2"/>
    <x v="0"/>
    <s v="Consultant"/>
    <x v="1"/>
    <n v="39"/>
    <s v="B.Sc"/>
    <s v="Active"/>
    <d v="2021-07-27T00:00:00"/>
    <n v="12.7"/>
    <n v="2362305"/>
    <n v="0.13689999999999999"/>
    <n v="3"/>
    <x v="0"/>
    <n v="7285045092"/>
    <s v="tejasraoat-company.com"/>
    <n v="3"/>
    <n v="82"/>
    <s v="EMP1083"/>
    <s v="Invalid"/>
    <n v="7"/>
    <s v="Jul"/>
    <n v="2021"/>
    <n v="4"/>
    <s v="30-39"/>
    <x v="4"/>
    <x v="2"/>
    <n v="323399.55449999997"/>
    <x v="1"/>
  </r>
  <r>
    <s v="EMP1141"/>
    <s v="Vivek Pandey"/>
    <x v="6"/>
    <x v="4"/>
    <s v="Intern"/>
    <x v="0"/>
    <n v="51"/>
    <s v="B.Com"/>
    <s v="On Leave"/>
    <d v="2013-09-28T00:00:00"/>
    <n v="11.9"/>
    <n v="588748"/>
    <n v="0.21940000000000001"/>
    <n v="3"/>
    <x v="1"/>
    <n v="7413599241"/>
    <s v="vivekpandey@company.com"/>
    <n v="15"/>
    <n v="84"/>
    <s v="EMP1017"/>
    <s v="Valid"/>
    <n v="9"/>
    <s v="Sep"/>
    <n v="2013"/>
    <n v="12"/>
    <s v="50+"/>
    <x v="1"/>
    <x v="2"/>
    <n v="129171.31120000001"/>
    <x v="1"/>
  </r>
  <r>
    <s v="EMP1266"/>
    <s v="Shweta Chatterjee"/>
    <x v="6"/>
    <x v="1"/>
    <s v="Lead"/>
    <x v="1"/>
    <n v="39"/>
    <s v="PhD"/>
    <s v="Contract"/>
    <d v="2013-07-07T00:00:00"/>
    <n v="26.9"/>
    <n v="453530"/>
    <n v="7.3800000000000004E-2"/>
    <n v="3"/>
    <x v="1"/>
    <n v="8093194763"/>
    <s v="shwetachatterjee@company.com"/>
    <n v="29"/>
    <n v="59"/>
    <s v="EMP1066"/>
    <s v="Valid"/>
    <n v="7"/>
    <s v="Jul"/>
    <n v="2013"/>
    <n v="12"/>
    <s v="30-39"/>
    <x v="3"/>
    <x v="2"/>
    <n v="33470.514000000003"/>
    <x v="1"/>
  </r>
  <r>
    <s v="EMP1194"/>
    <s v="Sneha Desai"/>
    <x v="3"/>
    <x v="5"/>
    <s v="Executive"/>
    <x v="0"/>
    <n v="53"/>
    <s v="PhD"/>
    <s v="Active"/>
    <d v="2012-09-25T00:00:00"/>
    <n v="5.8"/>
    <n v="1141667"/>
    <n v="0.18190000000000001"/>
    <n v="5"/>
    <x v="1"/>
    <n v="8112380464"/>
    <s v="snehadesai@company.com"/>
    <n v="2"/>
    <n v="19"/>
    <s v="EMP1084"/>
    <s v="Valid"/>
    <n v="9"/>
    <s v="Sep"/>
    <n v="2012"/>
    <n v="13"/>
    <s v="50+"/>
    <x v="2"/>
    <x v="1"/>
    <n v="207669.2273"/>
    <x v="2"/>
  </r>
  <r>
    <s v="EMP1167"/>
    <s v="Kavya Agarwal"/>
    <x v="0"/>
    <x v="2"/>
    <s v="Senior Manager"/>
    <x v="0"/>
    <n v="23"/>
    <s v="PhD"/>
    <s v="Contract"/>
    <d v="2017-10-24T00:00:00"/>
    <n v="15.9"/>
    <n v="1188669"/>
    <n v="0.1973"/>
    <n v="1"/>
    <x v="0"/>
    <n v="7186753800"/>
    <s v="kavyaagarwalat-company.com"/>
    <n v="6"/>
    <n v="120"/>
    <s v="EMP1002"/>
    <s v="Invalid"/>
    <n v="10"/>
    <s v="Oct"/>
    <n v="2017"/>
    <n v="8"/>
    <s v="20-29"/>
    <x v="2"/>
    <x v="4"/>
    <n v="234524.39370000002"/>
    <x v="1"/>
  </r>
  <r>
    <s v="EMP1189"/>
    <s v="Vishal Banerjee"/>
    <x v="0"/>
    <x v="0"/>
    <s v="Manager"/>
    <x v="1"/>
    <n v="58"/>
    <s v="PhD"/>
    <s v="Contract"/>
    <d v="2012-01-23T00:00:00"/>
    <n v="29.3"/>
    <n v="2065869"/>
    <n v="0.14319999999999999"/>
    <n v="5"/>
    <x v="1"/>
    <n v="8118594780"/>
    <s v="vishalbanerjeeat-company.com"/>
    <n v="37"/>
    <n v="79"/>
    <s v="EMP1004"/>
    <s v="Invalid"/>
    <n v="1"/>
    <s v="Jan"/>
    <n v="2012"/>
    <n v="14"/>
    <s v="50+"/>
    <x v="4"/>
    <x v="1"/>
    <n v="295832.44079999998"/>
    <x v="1"/>
  </r>
  <r>
    <s v="EMP1357"/>
    <s v="Nikhil Mishra"/>
    <x v="3"/>
    <x v="2"/>
    <s v="Associate"/>
    <x v="1"/>
    <n v="53"/>
    <s v="MBA"/>
    <s v="Active"/>
    <d v="2011-01-09T00:00:00"/>
    <n v="11.8"/>
    <n v="1433714"/>
    <n v="4.6100000000000002E-2"/>
    <n v="3"/>
    <x v="0"/>
    <n v="8652116078"/>
    <s v="nikhilmishra@companycom"/>
    <n v="6"/>
    <n v="4"/>
    <s v="EMP1070"/>
    <s v="Invalid"/>
    <n v="1"/>
    <s v="Jan"/>
    <n v="2011"/>
    <n v="15"/>
    <s v="50+"/>
    <x v="2"/>
    <x v="2"/>
    <n v="66094.215400000001"/>
    <x v="1"/>
  </r>
  <r>
    <s v="EMP1076"/>
    <s v="Deepak Pandey"/>
    <x v="3"/>
    <x v="5"/>
    <s v="VP"/>
    <x v="1"/>
    <n v="51"/>
    <s v="MCA"/>
    <s v="On Leave"/>
    <d v="2023-11-25T00:00:00"/>
    <n v="24.9"/>
    <n v="1247313"/>
    <n v="0.125"/>
    <n v="3"/>
    <x v="1"/>
    <n v="7241011818"/>
    <s v="deepakpandey@company.com"/>
    <n v="42"/>
    <n v="109"/>
    <s v="EMP1013"/>
    <s v="Valid"/>
    <n v="11"/>
    <s v="Nov"/>
    <n v="2023"/>
    <n v="2"/>
    <s v="50+"/>
    <x v="2"/>
    <x v="2"/>
    <n v="155914.125"/>
    <x v="1"/>
  </r>
  <r>
    <s v="EMP1229"/>
    <s v="Sachin Banerjee"/>
    <x v="3"/>
    <x v="3"/>
    <s v="Executive"/>
    <x v="1"/>
    <n v="29"/>
    <s v="CA"/>
    <s v="Active"/>
    <d v="2012-10-22T00:00:00"/>
    <n v="23.1"/>
    <n v="2465795"/>
    <n v="0.19989999999999999"/>
    <n v="3"/>
    <x v="1"/>
    <n v="8119611566"/>
    <s v="sachinbanerjee@companycom"/>
    <n v="53"/>
    <n v="50"/>
    <s v="EMP1049"/>
    <s v="Invalid"/>
    <n v="10"/>
    <s v="Oct"/>
    <n v="2012"/>
    <n v="13"/>
    <s v="20-29"/>
    <x v="4"/>
    <x v="2"/>
    <n v="492912.42050000001"/>
    <x v="1"/>
  </r>
  <r>
    <s v="EMP1106"/>
    <s v="Vikram Shah"/>
    <x v="2"/>
    <x v="4"/>
    <s v="VP"/>
    <x v="1"/>
    <n v="48"/>
    <s v="B.Sc"/>
    <s v="Active"/>
    <d v="2022-10-21T00:00:00"/>
    <n v="11.6"/>
    <n v="1888435"/>
    <n v="2.6200000000000001E-2"/>
    <n v="4"/>
    <x v="1"/>
    <n v="7143506818"/>
    <s v="vikramshah@company.com"/>
    <n v="48"/>
    <n v="9"/>
    <s v="EMP1071"/>
    <s v="Valid"/>
    <n v="10"/>
    <s v="Oct"/>
    <n v="2022"/>
    <n v="3"/>
    <s v="40-49"/>
    <x v="0"/>
    <x v="0"/>
    <n v="49476.997000000003"/>
    <x v="1"/>
  </r>
  <r>
    <s v="EMP1108"/>
    <s v="Gaurav Kumar"/>
    <x v="4"/>
    <x v="1"/>
    <s v="Senior Manager"/>
    <x v="1"/>
    <n v="47"/>
    <s v="MBA"/>
    <s v="Terminated"/>
    <d v="2024-07-12T00:00:00"/>
    <n v="16.600000000000001"/>
    <n v="1411509"/>
    <n v="3.78E-2"/>
    <n v="1"/>
    <x v="1"/>
    <n v="8131297865"/>
    <s v="gauravkumarat-company.com"/>
    <n v="12"/>
    <n v="44"/>
    <s v="EMP1070"/>
    <s v="Invalid"/>
    <n v="7"/>
    <s v="Jul"/>
    <n v="2024"/>
    <n v="1"/>
    <s v="40-49"/>
    <x v="2"/>
    <x v="4"/>
    <n v="53355.040200000003"/>
    <x v="1"/>
  </r>
  <r>
    <s v="EMP1002"/>
    <s v="Rajesh Singh"/>
    <x v="3"/>
    <x v="5"/>
    <s v="Manager"/>
    <x v="1"/>
    <n v="46"/>
    <s v="Diploma"/>
    <s v="Active"/>
    <d v="2019-04-23T00:00:00"/>
    <n v="18.7"/>
    <n v="1529678"/>
    <n v="0.15890000000000001"/>
    <n v="4"/>
    <x v="1"/>
    <n v="7999829240"/>
    <s v="rajeshsingh@companycom"/>
    <n v="47"/>
    <n v="85"/>
    <s v="EMP1035"/>
    <s v="Invalid"/>
    <n v="4"/>
    <s v="Apr"/>
    <n v="2019"/>
    <n v="6"/>
    <s v="40-49"/>
    <x v="0"/>
    <x v="0"/>
    <n v="243065.83420000001"/>
    <x v="1"/>
  </r>
  <r>
    <s v="EMP1295"/>
    <s v="Pallavi Nair"/>
    <x v="2"/>
    <x v="0"/>
    <s v="Associate"/>
    <x v="1"/>
    <n v="31"/>
    <s v="BBA"/>
    <s v="On Leave"/>
    <d v="2020-04-23T00:00:00"/>
    <n v="8.4"/>
    <n v="595941"/>
    <n v="0.24100000000000002"/>
    <n v="4"/>
    <x v="0"/>
    <n v="7659240606"/>
    <s v="pallavinairat-company.com"/>
    <n v="34"/>
    <n v="14"/>
    <s v="EMP1088"/>
    <s v="Invalid"/>
    <n v="4"/>
    <s v="Apr"/>
    <n v="2020"/>
    <n v="5"/>
    <s v="30-39"/>
    <x v="1"/>
    <x v="0"/>
    <n v="143621.78100000002"/>
    <x v="2"/>
  </r>
  <r>
    <s v="EMP1058"/>
    <s v="Tiwari, Komal"/>
    <x v="4"/>
    <x v="0"/>
    <s v="Executive"/>
    <x v="0"/>
    <n v="47"/>
    <s v="PhD"/>
    <s v="Inactive"/>
    <d v="2017-04-11T00:00:00"/>
    <n v="5.2"/>
    <n v="606071"/>
    <n v="0.12869999999999998"/>
    <n v="3"/>
    <x v="1"/>
    <n v="8483355242"/>
    <s v="tiwari,komalat-company.com"/>
    <n v="30"/>
    <n v="34"/>
    <s v="EMP1058"/>
    <s v="Invalid"/>
    <n v="4"/>
    <s v="Apr"/>
    <n v="2017"/>
    <n v="8"/>
    <s v="40-49"/>
    <x v="1"/>
    <x v="2"/>
    <n v="78001.337699999989"/>
    <x v="2"/>
  </r>
  <r>
    <s v="EMP1069"/>
    <s v="Patel, Shruti"/>
    <x v="0"/>
    <x v="2"/>
    <s v="Senior Manager"/>
    <x v="0"/>
    <n v="24"/>
    <s v="MBA"/>
    <s v="Contract"/>
    <d v="2020-07-12T00:00:00"/>
    <n v="23.1"/>
    <n v="1054896"/>
    <n v="3.32E-2"/>
    <n v="3"/>
    <x v="0"/>
    <n v="8613385303"/>
    <s v="patel,shruti@company.com"/>
    <n v="15"/>
    <n v="68"/>
    <s v="EMP1051"/>
    <s v="Valid"/>
    <n v="7"/>
    <s v="Jul"/>
    <n v="2020"/>
    <n v="5"/>
    <s v="20-29"/>
    <x v="2"/>
    <x v="2"/>
    <n v="35022.547200000001"/>
    <x v="1"/>
  </r>
  <r>
    <s v="EMP1037"/>
    <s v="Kavya Banerjee"/>
    <x v="5"/>
    <x v="4"/>
    <s v="Analyst"/>
    <x v="0"/>
    <n v="23"/>
    <s v="B.Com"/>
    <s v="Active"/>
    <d v="2012-05-02T00:00:00"/>
    <n v="7.5"/>
    <n v="1802577"/>
    <n v="2.7300000000000001E-2"/>
    <n v="3"/>
    <x v="1"/>
    <n v="9045460840"/>
    <s v="kavyabanerjee@company.com"/>
    <n v="78"/>
    <n v="100"/>
    <s v="EMP1085"/>
    <s v="Valid"/>
    <n v="5"/>
    <s v="May"/>
    <n v="2012"/>
    <n v="13"/>
    <s v="20-29"/>
    <x v="0"/>
    <x v="2"/>
    <n v="49210.352100000004"/>
    <x v="2"/>
  </r>
  <r>
    <s v="EMP1024"/>
    <s v="Vikram Desai"/>
    <x v="4"/>
    <x v="4"/>
    <s v="Analyst"/>
    <x v="0"/>
    <n v="27"/>
    <s v="CA"/>
    <s v="Terminated"/>
    <d v="2019-04-25T00:00:00"/>
    <n v="12.8"/>
    <n v="796821"/>
    <n v="1.5100000000000001E-2"/>
    <n v="4"/>
    <x v="1"/>
    <n v="9527696207"/>
    <s v="vikramdesai@company.com"/>
    <n v="12"/>
    <n v="26"/>
    <s v="EMP1081"/>
    <s v="Valid"/>
    <n v="4"/>
    <s v="Apr"/>
    <n v="2019"/>
    <n v="6"/>
    <s v="20-29"/>
    <x v="1"/>
    <x v="0"/>
    <n v="12031.997100000001"/>
    <x v="1"/>
  </r>
  <r>
    <s v="EMP1068"/>
    <s v="Archana Shah"/>
    <x v="2"/>
    <x v="5"/>
    <s v="Lead"/>
    <x v="1"/>
    <n v="32"/>
    <s v="CA"/>
    <s v="Active"/>
    <d v="2017-02-17T00:00:00"/>
    <n v="20.6"/>
    <n v="2482470"/>
    <n v="0.16820000000000002"/>
    <n v="1"/>
    <x v="0"/>
    <n v="8784234958"/>
    <s v="archanashahat-company.com"/>
    <n v="2"/>
    <n v="104"/>
    <s v="EMP1001"/>
    <s v="Invalid"/>
    <n v="2"/>
    <s v="Feb"/>
    <n v="2017"/>
    <n v="9"/>
    <s v="30-39"/>
    <x v="4"/>
    <x v="4"/>
    <n v="417551.45400000003"/>
    <x v="1"/>
  </r>
  <r>
    <s v="EMP1401"/>
    <s v="Shruti Iyer"/>
    <x v="0"/>
    <x v="2"/>
    <s v="Lead"/>
    <x v="0"/>
    <n v="44"/>
    <s v="PhD"/>
    <s v="Active"/>
    <d v="2017-11-06T00:00:00"/>
    <n v="11.5"/>
    <n v="2401745"/>
    <n v="7.7300000000000008E-2"/>
    <n v="4"/>
    <x v="0"/>
    <n v="7061128523"/>
    <s v="shrutiiyer@company.com"/>
    <n v="35"/>
    <n v="93"/>
    <s v="EMP1016"/>
    <s v="Valid"/>
    <n v="11"/>
    <s v="Nov"/>
    <n v="2017"/>
    <n v="8"/>
    <s v="40-49"/>
    <x v="4"/>
    <x v="0"/>
    <n v="185654.88850000003"/>
    <x v="1"/>
  </r>
  <r>
    <s v="EMP1062"/>
    <s v="Manish Chopra"/>
    <x v="1"/>
    <x v="3"/>
    <s v="Senior Consultant"/>
    <x v="0"/>
    <n v="24"/>
    <s v="B.Com"/>
    <s v="Inactive"/>
    <d v="2016-12-07T00:00:00"/>
    <n v="13.5"/>
    <n v="760935"/>
    <n v="0.1656"/>
    <n v="5"/>
    <x v="0"/>
    <n v="7593059748"/>
    <s v="manishchopraat-company.com"/>
    <n v="40"/>
    <n v="58"/>
    <s v="EMP1069"/>
    <s v="Invalid"/>
    <n v="12"/>
    <s v="Dec"/>
    <n v="2016"/>
    <n v="9"/>
    <s v="20-29"/>
    <x v="1"/>
    <x v="1"/>
    <n v="126010.836"/>
    <x v="1"/>
  </r>
  <r>
    <s v="EMP1298"/>
    <s v="Anjali Iyer"/>
    <x v="2"/>
    <x v="3"/>
    <s v="Senior Manager"/>
    <x v="1"/>
    <n v="32"/>
    <s v="M.Tech"/>
    <s v="Active"/>
    <d v="2023-01-14T00:00:00"/>
    <n v="16.8"/>
    <n v="654775"/>
    <n v="0.1014"/>
    <n v="3"/>
    <x v="0"/>
    <n v="9942575986"/>
    <s v="anjaliiyerat-company.com"/>
    <n v="0"/>
    <n v="89"/>
    <s v="EMP1069"/>
    <s v="Invalid"/>
    <n v="1"/>
    <s v="Jan"/>
    <n v="2023"/>
    <n v="3"/>
    <s v="30-39"/>
    <x v="1"/>
    <x v="2"/>
    <n v="66394.184999999998"/>
    <x v="1"/>
  </r>
  <r>
    <s v="EMP1404"/>
    <s v="Neha Chopra"/>
    <x v="3"/>
    <x v="3"/>
    <s v="Consultant"/>
    <x v="1"/>
    <n v="48"/>
    <s v="B.Tech"/>
    <s v="Terminated"/>
    <d v="2014-11-10T00:00:00"/>
    <n v="10.199999999999999"/>
    <n v="2366135"/>
    <n v="2.7900000000000001E-2"/>
    <n v="4"/>
    <x v="1"/>
    <n v="9911311585"/>
    <s v="nehachopra@companycom"/>
    <n v="23"/>
    <n v="40"/>
    <s v="EMP1066"/>
    <s v="Invalid"/>
    <n v="11"/>
    <s v="Nov"/>
    <n v="2014"/>
    <n v="11"/>
    <s v="40-49"/>
    <x v="4"/>
    <x v="0"/>
    <n v="66015.166500000007"/>
    <x v="1"/>
  </r>
  <r>
    <s v="EMP1382"/>
    <s v="Vishal Nair"/>
    <x v="4"/>
    <x v="2"/>
    <s v="Manager"/>
    <x v="1"/>
    <n v="45"/>
    <s v="MCA"/>
    <s v="Active"/>
    <d v="2013-09-05T00:00:00"/>
    <n v="20.2"/>
    <n v="1991030"/>
    <n v="4.3200000000000002E-2"/>
    <n v="2"/>
    <x v="0"/>
    <n v="8183372818"/>
    <s v="vishalnair@companycom"/>
    <n v="0"/>
    <n v="71"/>
    <s v="EMP1045"/>
    <s v="Invalid"/>
    <n v="9"/>
    <s v="Sep"/>
    <n v="2013"/>
    <n v="12"/>
    <s v="40-49"/>
    <x v="0"/>
    <x v="3"/>
    <n v="86012.495999999999"/>
    <x v="1"/>
  </r>
  <r>
    <s v="EMP1098"/>
    <s v="Vishal Shah"/>
    <x v="2"/>
    <x v="1"/>
    <s v="Manager"/>
    <x v="0"/>
    <n v="35"/>
    <s v="BBA"/>
    <s v="Active"/>
    <d v="2012-12-09T00:00:00"/>
    <n v="28.9"/>
    <n v="1298947"/>
    <n v="0.187"/>
    <n v="4"/>
    <x v="0"/>
    <n v="8774065466"/>
    <s v="vishalshahat-company.com"/>
    <n v="64"/>
    <n v="104"/>
    <s v="EMP1051"/>
    <s v="Invalid"/>
    <n v="12"/>
    <s v="Dec"/>
    <n v="2012"/>
    <n v="13"/>
    <s v="30-39"/>
    <x v="2"/>
    <x v="0"/>
    <n v="242903.08900000001"/>
    <x v="1"/>
  </r>
  <r>
    <s v="EMP1474"/>
    <s v="Pallavi Sinha"/>
    <x v="6"/>
    <x v="3"/>
    <s v="Analyst"/>
    <x v="1"/>
    <n v="53"/>
    <s v="MCA"/>
    <s v="Active"/>
    <d v="2024-05-28T00:00:00"/>
    <n v="2.4"/>
    <n v="2468445"/>
    <n v="4.8000000000000001E-2"/>
    <n v="4"/>
    <x v="1"/>
    <n v="8028278702"/>
    <s v="pallavisinha@company.com"/>
    <n v="52"/>
    <n v="76"/>
    <s v="EMP1055"/>
    <s v="Valid"/>
    <n v="5"/>
    <s v="May"/>
    <n v="2024"/>
    <n v="1"/>
    <s v="50+"/>
    <x v="4"/>
    <x v="0"/>
    <n v="118485.36"/>
    <x v="0"/>
  </r>
  <r>
    <s v="EMP1255"/>
    <s v="Nitin Mishra"/>
    <x v="1"/>
    <x v="1"/>
    <s v="Manager"/>
    <x v="0"/>
    <n v="41"/>
    <s v="Diploma"/>
    <s v="Active"/>
    <d v="2024-07-07T00:00:00"/>
    <n v="21.9"/>
    <n v="815802"/>
    <n v="6.83E-2"/>
    <n v="3"/>
    <x v="1"/>
    <n v="9728033887"/>
    <s v="nitinmishra@companycom"/>
    <n v="41"/>
    <n v="58"/>
    <s v="EMP1077"/>
    <s v="Invalid"/>
    <n v="7"/>
    <s v="Jul"/>
    <n v="2024"/>
    <n v="1"/>
    <s v="40-49"/>
    <x v="1"/>
    <x v="2"/>
    <n v="55719.276599999997"/>
    <x v="1"/>
  </r>
  <r>
    <s v="EMP1332"/>
    <s v="Arun Banerjee"/>
    <x v="0"/>
    <x v="0"/>
    <s v="VP"/>
    <x v="0"/>
    <n v="46"/>
    <s v="MCA"/>
    <s v="Active"/>
    <d v="2012-01-17T00:00:00"/>
    <n v="19.2"/>
    <n v="1780234"/>
    <n v="8.0700000000000008E-2"/>
    <n v="3"/>
    <x v="0"/>
    <n v="8512916571"/>
    <s v="arunbanerjeeat-company.com"/>
    <n v="45"/>
    <n v="27"/>
    <s v="EMP1085"/>
    <s v="Invalid"/>
    <n v="1"/>
    <s v="Jan"/>
    <n v="2012"/>
    <n v="14"/>
    <s v="40-49"/>
    <x v="0"/>
    <x v="2"/>
    <n v="143664.88380000001"/>
    <x v="1"/>
  </r>
  <r>
    <s v="EMP1131"/>
    <s v="Manish Joshi"/>
    <x v="2"/>
    <x v="0"/>
    <s v="Lead"/>
    <x v="0"/>
    <n v="36"/>
    <s v="MBA"/>
    <s v="On Leave"/>
    <d v="2019-09-16T00:00:00"/>
    <n v="9.1999999999999993"/>
    <n v="1692020"/>
    <n v="0.15529999999999999"/>
    <n v="1"/>
    <x v="1"/>
    <n v="8914126243"/>
    <s v="manishjoshi@company.com"/>
    <n v="41"/>
    <n v="101"/>
    <s v="EMP1015"/>
    <s v="Valid"/>
    <n v="9"/>
    <s v="Sep"/>
    <n v="2019"/>
    <n v="6"/>
    <s v="30-39"/>
    <x v="0"/>
    <x v="4"/>
    <n v="262770.70600000001"/>
    <x v="2"/>
  </r>
  <r>
    <s v="EMP1434"/>
    <s v="Sanjay Tiwari"/>
    <x v="2"/>
    <x v="0"/>
    <s v="Manager"/>
    <x v="1"/>
    <n v="57"/>
    <s v="MBA"/>
    <s v="On Leave"/>
    <d v="2022-11-23T00:00:00"/>
    <n v="29.8"/>
    <n v="1930781"/>
    <n v="0.13570000000000002"/>
    <n v="1"/>
    <x v="1"/>
    <n v="8319069607"/>
    <s v="sanjaytiwari@company.com"/>
    <n v="6"/>
    <n v="6"/>
    <s v="EMP1039"/>
    <s v="Valid"/>
    <n v="11"/>
    <s v="Nov"/>
    <n v="2022"/>
    <n v="3"/>
    <s v="50+"/>
    <x v="0"/>
    <x v="4"/>
    <n v="262006.98170000003"/>
    <x v="1"/>
  </r>
  <r>
    <s v="EMP1467"/>
    <s v="Preeti Pandey"/>
    <x v="4"/>
    <x v="3"/>
    <s v="Manager"/>
    <x v="1"/>
    <n v="42"/>
    <s v="B.Tech"/>
    <s v="Contract"/>
    <d v="2018-02-14T00:00:00"/>
    <n v="25.9"/>
    <n v="1372828"/>
    <n v="2.1700000000000001E-2"/>
    <n v="5"/>
    <x v="1"/>
    <n v="7117373418"/>
    <s v="preetipandey@company.com"/>
    <n v="11"/>
    <n v="92"/>
    <s v="EMP1092"/>
    <s v="Valid"/>
    <n v="2"/>
    <s v="Feb"/>
    <n v="2018"/>
    <n v="8"/>
    <s v="40-49"/>
    <x v="2"/>
    <x v="1"/>
    <n v="29790.367600000001"/>
    <x v="1"/>
  </r>
  <r>
    <s v="EMP1316"/>
    <s v="Tejas Joshi"/>
    <x v="5"/>
    <x v="0"/>
    <s v="Consultant"/>
    <x v="1"/>
    <n v="58"/>
    <s v="Diploma"/>
    <s v="Terminated"/>
    <d v="2018-07-05T00:00:00"/>
    <n v="5.0999999999999996"/>
    <n v="1253427"/>
    <n v="0.15130000000000002"/>
    <n v="3"/>
    <x v="1"/>
    <n v="8684876851"/>
    <s v="tejasjoshi@companycom"/>
    <n v="59"/>
    <n v="83"/>
    <s v="EMP1083"/>
    <s v="Invalid"/>
    <n v="7"/>
    <s v="Jul"/>
    <n v="2018"/>
    <n v="7"/>
    <s v="50+"/>
    <x v="2"/>
    <x v="2"/>
    <n v="189643.50510000001"/>
    <x v="2"/>
  </r>
  <r>
    <s v="EMP1148"/>
    <s v="Karan Kumar"/>
    <x v="5"/>
    <x v="3"/>
    <s v="Director"/>
    <x v="0"/>
    <n v="27"/>
    <s v="MBA"/>
    <s v="Active"/>
    <d v="2010-08-12T00:00:00"/>
    <n v="23"/>
    <n v="2366386"/>
    <n v="7.0099999999999996E-2"/>
    <n v="4"/>
    <x v="1"/>
    <n v="8179969405"/>
    <s v="karankumarat-company.com"/>
    <n v="73"/>
    <n v="67"/>
    <s v="EMP1055"/>
    <s v="Invalid"/>
    <n v="8"/>
    <s v="Aug"/>
    <n v="2010"/>
    <n v="15"/>
    <s v="20-29"/>
    <x v="4"/>
    <x v="0"/>
    <n v="165883.6586"/>
    <x v="1"/>
  </r>
  <r>
    <s v="EMP1500"/>
    <s v="Swati Gupta"/>
    <x v="0"/>
    <x v="5"/>
    <s v="Associate"/>
    <x v="1"/>
    <n v="55"/>
    <s v="B.Com"/>
    <s v="Active"/>
    <d v="2018-12-25T00:00:00"/>
    <n v="14.5"/>
    <n v="788610"/>
    <n v="0.2147"/>
    <n v="5"/>
    <x v="1"/>
    <n v="8056723350"/>
    <s v="swatigupta@company.com"/>
    <n v="38"/>
    <n v="17"/>
    <s v="EMP1090"/>
    <s v="Valid"/>
    <n v="12"/>
    <s v="Dec"/>
    <n v="2018"/>
    <n v="7"/>
    <s v="50+"/>
    <x v="1"/>
    <x v="1"/>
    <n v="169314.56700000001"/>
    <x v="1"/>
  </r>
  <r>
    <s v="EMP1411"/>
    <s v="Bhavna Gupta"/>
    <x v="3"/>
    <x v="5"/>
    <s v="Intern"/>
    <x v="1"/>
    <n v="34"/>
    <s v="CA"/>
    <s v="Active"/>
    <d v="2023-01-25T00:00:00"/>
    <n v="3.5"/>
    <n v="1164631"/>
    <n v="7.5700000000000003E-2"/>
    <n v="3"/>
    <x v="1"/>
    <n v="8354358858"/>
    <s v="bhavnagupta@company.com"/>
    <n v="34"/>
    <n v="117"/>
    <s v="EMP1028"/>
    <s v="Valid"/>
    <n v="1"/>
    <s v="Jan"/>
    <n v="2023"/>
    <n v="3"/>
    <s v="30-39"/>
    <x v="2"/>
    <x v="2"/>
    <n v="88162.56670000001"/>
    <x v="0"/>
  </r>
  <r>
    <s v="EMP1177"/>
    <s v="Gaurav Mehta"/>
    <x v="0"/>
    <x v="0"/>
    <s v="VP"/>
    <x v="1"/>
    <n v="28"/>
    <s v="M.Tech"/>
    <s v="Active"/>
    <d v="2021-05-14T00:00:00"/>
    <n v="20.8"/>
    <n v="667713"/>
    <n v="0.1241"/>
    <n v="3"/>
    <x v="1"/>
    <n v="9676813221"/>
    <s v="gauravmehta@companycom"/>
    <n v="63"/>
    <n v="23"/>
    <s v="EMP1079"/>
    <s v="Invalid"/>
    <n v="5"/>
    <s v="May"/>
    <n v="2021"/>
    <n v="4"/>
    <s v="20-29"/>
    <x v="1"/>
    <x v="2"/>
    <n v="82863.183300000004"/>
    <x v="1"/>
  </r>
  <r>
    <s v="EMP1271"/>
    <s v="Arjun Agarwal"/>
    <x v="2"/>
    <x v="4"/>
    <s v="Lead"/>
    <x v="0"/>
    <n v="46"/>
    <s v="PhD"/>
    <s v="Active"/>
    <d v="2021-11-16T00:00:00"/>
    <n v="6.6"/>
    <n v="1166038"/>
    <n v="5.04E-2"/>
    <n v="5"/>
    <x v="1"/>
    <n v="7871761712"/>
    <s v="arjunagarwal@companycom"/>
    <n v="57"/>
    <n v="51"/>
    <s v="EMP1078"/>
    <s v="Invalid"/>
    <n v="11"/>
    <s v="Nov"/>
    <n v="2021"/>
    <n v="4"/>
    <s v="40-49"/>
    <x v="2"/>
    <x v="1"/>
    <n v="58768.315199999997"/>
    <x v="2"/>
  </r>
  <r>
    <s v="EMP1099"/>
    <s v="Hemant Verma"/>
    <x v="3"/>
    <x v="1"/>
    <s v="Executive"/>
    <x v="1"/>
    <n v="42"/>
    <s v="B.Sc"/>
    <s v="On Leave"/>
    <d v="2019-02-05T00:00:00"/>
    <n v="6.5"/>
    <n v="1279836"/>
    <n v="7.7100000000000002E-2"/>
    <n v="4"/>
    <x v="0"/>
    <n v="7518560332"/>
    <s v="hemantverma@company.com"/>
    <n v="15"/>
    <n v="103"/>
    <s v="EMP1088"/>
    <s v="Valid"/>
    <n v="2"/>
    <s v="Feb"/>
    <n v="2019"/>
    <n v="7"/>
    <s v="40-49"/>
    <x v="2"/>
    <x v="0"/>
    <n v="98675.355599999995"/>
    <x v="2"/>
  </r>
  <r>
    <s v="EMP1199"/>
    <s v="Rahul Joshi"/>
    <x v="4"/>
    <x v="1"/>
    <s v="VP"/>
    <x v="1"/>
    <n v="31"/>
    <s v="B.Com"/>
    <s v="Inactive"/>
    <d v="2021-01-20T00:00:00"/>
    <n v="7.6"/>
    <n v="2493985"/>
    <n v="1.1000000000000001E-3"/>
    <n v="4"/>
    <x v="1"/>
    <n v="9693767622"/>
    <s v="rahuljoshi@companycom"/>
    <n v="15"/>
    <n v="12"/>
    <s v="EMP1080"/>
    <s v="Invalid"/>
    <n v="1"/>
    <s v="Jan"/>
    <n v="2021"/>
    <n v="5"/>
    <s v="30-39"/>
    <x v="4"/>
    <x v="0"/>
    <n v="2743.3835000000004"/>
    <x v="2"/>
  </r>
  <r>
    <s v="EMP1342"/>
    <s v="Yash Kulkarni"/>
    <x v="3"/>
    <x v="0"/>
    <s v="Consultant"/>
    <x v="1"/>
    <n v="55"/>
    <s v="BBA"/>
    <s v="Contract"/>
    <d v="2014-05-07T00:00:00"/>
    <n v="12"/>
    <n v="1763162"/>
    <n v="0.24239999999999998"/>
    <n v="5"/>
    <x v="1"/>
    <n v="9433796605"/>
    <s v="yashkulkarni@companycom"/>
    <n v="18"/>
    <n v="19"/>
    <s v="EMP1067"/>
    <s v="Invalid"/>
    <n v="5"/>
    <s v="May"/>
    <n v="2014"/>
    <n v="11"/>
    <s v="50+"/>
    <x v="0"/>
    <x v="1"/>
    <n v="427390.46879999997"/>
    <x v="1"/>
  </r>
  <r>
    <s v="EMP1314"/>
    <s v="Anjali Rao"/>
    <x v="5"/>
    <x v="4"/>
    <s v="Director"/>
    <x v="1"/>
    <n v="25"/>
    <s v="B.Com"/>
    <s v="Active"/>
    <d v="2014-08-05T00:00:00"/>
    <n v="26.1"/>
    <n v="1813550"/>
    <n v="3.4500000000000003E-2"/>
    <n v="4"/>
    <x v="0"/>
    <n v="8041518442"/>
    <s v="anjaliraoat-company.com"/>
    <n v="18"/>
    <n v="3"/>
    <s v="EMP1090"/>
    <s v="Invalid"/>
    <n v="8"/>
    <s v="Aug"/>
    <n v="2014"/>
    <n v="11"/>
    <s v="20-29"/>
    <x v="0"/>
    <x v="0"/>
    <n v="62567.475000000006"/>
    <x v="1"/>
  </r>
  <r>
    <s v="EMP1464"/>
    <s v="Nitin Saxena"/>
    <x v="6"/>
    <x v="0"/>
    <s v="Consultant"/>
    <x v="0"/>
    <n v="27"/>
    <s v="MCA"/>
    <s v="On Leave"/>
    <d v="2022-09-28T00:00:00"/>
    <n v="11.1"/>
    <n v="877310"/>
    <n v="3.9900000000000005E-2"/>
    <n v="1"/>
    <x v="1"/>
    <n v="9571794425"/>
    <s v="nitinsaxena@companycom"/>
    <n v="17"/>
    <n v="101"/>
    <s v="EMP1027"/>
    <s v="Invalid"/>
    <n v="9"/>
    <s v="Sep"/>
    <n v="2022"/>
    <n v="3"/>
    <s v="20-29"/>
    <x v="1"/>
    <x v="4"/>
    <n v="35004.669000000002"/>
    <x v="1"/>
  </r>
  <r>
    <s v="EMP1221"/>
    <s v="Aarti Nair"/>
    <x v="4"/>
    <x v="3"/>
    <s v="Director"/>
    <x v="0"/>
    <n v="23"/>
    <s v="MCA"/>
    <s v="Active"/>
    <d v="2010-11-11T00:00:00"/>
    <n v="10.8"/>
    <n v="837701"/>
    <n v="5.8700000000000002E-2"/>
    <n v="3"/>
    <x v="1"/>
    <n v="8769224170"/>
    <s v="aartinairat-company.com"/>
    <n v="10"/>
    <n v="8"/>
    <s v="EMP1040"/>
    <s v="Invalid"/>
    <n v="11"/>
    <s v="Nov"/>
    <n v="2010"/>
    <n v="15"/>
    <s v="20-29"/>
    <x v="1"/>
    <x v="2"/>
    <n v="49173.048699999999"/>
    <x v="1"/>
  </r>
  <r>
    <s v="EMP1122"/>
    <s v="Shweta Banerjee"/>
    <x v="2"/>
    <x v="4"/>
    <s v="Manager"/>
    <x v="0"/>
    <n v="43"/>
    <s v="B.Com"/>
    <s v="Active"/>
    <d v="2015-06-06T00:00:00"/>
    <n v="8.4"/>
    <n v="2135907"/>
    <n v="0.16219999999999998"/>
    <n v="3"/>
    <x v="1"/>
    <n v="8656635401"/>
    <s v="shwetabanerjeeat-company.com"/>
    <n v="14"/>
    <n v="92"/>
    <s v="EMP1008"/>
    <s v="Invalid"/>
    <n v="6"/>
    <s v="Jun"/>
    <n v="2015"/>
    <n v="10"/>
    <s v="40-49"/>
    <x v="4"/>
    <x v="2"/>
    <n v="346444.11539999995"/>
    <x v="2"/>
  </r>
  <r>
    <s v="EMP1253"/>
    <s v="Pooja Sharma"/>
    <x v="2"/>
    <x v="1"/>
    <s v="Analyst"/>
    <x v="0"/>
    <n v="46"/>
    <s v="MCA"/>
    <s v="Terminated"/>
    <d v="2013-08-17T00:00:00"/>
    <n v="7.6"/>
    <n v="807369"/>
    <n v="0.121"/>
    <n v="3"/>
    <x v="1"/>
    <n v="7260412355"/>
    <s v="poojasharmaat-company.com"/>
    <n v="29"/>
    <n v="2"/>
    <s v="EMP1035"/>
    <s v="Invalid"/>
    <n v="8"/>
    <s v="Aug"/>
    <n v="2013"/>
    <n v="12"/>
    <s v="40-49"/>
    <x v="1"/>
    <x v="2"/>
    <n v="97691.64899999999"/>
    <x v="2"/>
  </r>
  <r>
    <s v="EMP1268"/>
    <s v="Divya Kumar"/>
    <x v="5"/>
    <x v="5"/>
    <s v="Senior Consultant"/>
    <x v="0"/>
    <n v="40"/>
    <s v="B.Tech"/>
    <s v="Terminated"/>
    <d v="2010-08-21T00:00:00"/>
    <n v="24.7"/>
    <n v="1993706"/>
    <n v="0.129"/>
    <n v="3"/>
    <x v="1"/>
    <n v="7974641050"/>
    <s v="divyakumar@company.com"/>
    <n v="59"/>
    <n v="59"/>
    <s v="EMP1044"/>
    <s v="Valid"/>
    <n v="8"/>
    <s v="Aug"/>
    <n v="2010"/>
    <n v="15"/>
    <s v="40-49"/>
    <x v="0"/>
    <x v="2"/>
    <n v="257188.07399999999"/>
    <x v="1"/>
  </r>
  <r>
    <s v="EMP1349"/>
    <s v="Tanvi Bhat"/>
    <x v="2"/>
    <x v="1"/>
    <s v="Lead"/>
    <x v="1"/>
    <n v="54"/>
    <s v="MCA"/>
    <s v="On Leave"/>
    <d v="2021-03-09T00:00:00"/>
    <n v="21.7"/>
    <n v="935029"/>
    <n v="4.5100000000000001E-2"/>
    <n v="5"/>
    <x v="1"/>
    <n v="9770829463"/>
    <s v="tanvibhat@company.com"/>
    <n v="64"/>
    <n v="67"/>
    <s v="EMP1034"/>
    <s v="Valid"/>
    <n v="3"/>
    <s v="Mar"/>
    <n v="2021"/>
    <n v="5"/>
    <s v="50+"/>
    <x v="1"/>
    <x v="1"/>
    <n v="42169.8079"/>
    <x v="1"/>
  </r>
  <r>
    <s v="EMP1491"/>
    <s v="Yash Shah"/>
    <x v="2"/>
    <x v="1"/>
    <s v="Director"/>
    <x v="1"/>
    <n v="24"/>
    <s v="B.Tech"/>
    <s v="Active"/>
    <d v="2017-02-09T00:00:00"/>
    <n v="27"/>
    <n v="1106347"/>
    <n v="0.21309999999999998"/>
    <n v="5"/>
    <x v="1"/>
    <n v="9631685228"/>
    <s v="yashshah@companycom"/>
    <n v="65"/>
    <n v="77"/>
    <s v="EMP1029"/>
    <s v="Invalid"/>
    <n v="2"/>
    <s v="Feb"/>
    <n v="2017"/>
    <n v="9"/>
    <s v="20-29"/>
    <x v="2"/>
    <x v="1"/>
    <n v="235762.54569999999"/>
    <x v="1"/>
  </r>
  <r>
    <s v="EMP1261"/>
    <s v="Komal Singh"/>
    <x v="6"/>
    <x v="4"/>
    <s v="Associate"/>
    <x v="1"/>
    <n v="28"/>
    <s v="CA"/>
    <s v="Inactive"/>
    <d v="2012-11-17T00:00:00"/>
    <n v="25.3"/>
    <n v="583302"/>
    <n v="1.5100000000000001E-2"/>
    <n v="3"/>
    <x v="1"/>
    <n v="8909646911"/>
    <s v="komalsingh@company.com"/>
    <n v="55"/>
    <n v="83"/>
    <s v="EMP1097"/>
    <s v="Valid"/>
    <n v="11"/>
    <s v="Nov"/>
    <n v="2012"/>
    <n v="13"/>
    <s v="20-29"/>
    <x v="1"/>
    <x v="2"/>
    <n v="8807.860200000001"/>
    <x v="1"/>
  </r>
  <r>
    <s v="EMP1350"/>
    <s v="Arjun Menon"/>
    <x v="4"/>
    <x v="5"/>
    <s v="VP"/>
    <x v="1"/>
    <n v="32"/>
    <s v="B.Tech"/>
    <s v="Active"/>
    <d v="2013-12-26T00:00:00"/>
    <n v="20.5"/>
    <n v="745520"/>
    <n v="2.86E-2"/>
    <n v="3"/>
    <x v="0"/>
    <n v="8804127440"/>
    <s v="arjunmenon@company.com"/>
    <n v="9"/>
    <n v="47"/>
    <s v="EMP1078"/>
    <s v="Valid"/>
    <n v="12"/>
    <s v="Dec"/>
    <n v="2013"/>
    <n v="12"/>
    <s v="30-39"/>
    <x v="1"/>
    <x v="2"/>
    <n v="21321.871999999999"/>
    <x v="1"/>
  </r>
  <r>
    <s v="EMP1405"/>
    <s v="Arun Joshi"/>
    <x v="3"/>
    <x v="4"/>
    <s v="Associate"/>
    <x v="1"/>
    <n v="34"/>
    <s v="Diploma"/>
    <s v="Active"/>
    <d v="2018-08-04T00:00:00"/>
    <n v="15.3"/>
    <n v="1272251"/>
    <n v="4.2900000000000001E-2"/>
    <n v="5"/>
    <x v="1"/>
    <n v="8390561934"/>
    <s v="arunjoshiat-company.com"/>
    <n v="20"/>
    <n v="66"/>
    <s v="EMP1061"/>
    <s v="Invalid"/>
    <n v="8"/>
    <s v="Aug"/>
    <n v="2018"/>
    <n v="7"/>
    <s v="30-39"/>
    <x v="2"/>
    <x v="1"/>
    <n v="54579.567900000002"/>
    <x v="1"/>
  </r>
  <r>
    <s v="EMP1363"/>
    <s v="Sanjay Sinha"/>
    <x v="6"/>
    <x v="1"/>
    <s v="Senior Analyst"/>
    <x v="1"/>
    <n v="37"/>
    <s v="MCA"/>
    <s v="Active"/>
    <d v="2024-06-21T00:00:00"/>
    <n v="10.9"/>
    <n v="2019353"/>
    <n v="6.1200000000000004E-2"/>
    <n v="4"/>
    <x v="0"/>
    <n v="7986825871"/>
    <s v="sanjaysinhaat-company.com"/>
    <n v="74"/>
    <n v="77"/>
    <s v="EMP1034"/>
    <s v="Invalid"/>
    <n v="6"/>
    <s v="Jun"/>
    <n v="2024"/>
    <n v="1"/>
    <s v="30-39"/>
    <x v="4"/>
    <x v="0"/>
    <n v="123584.40360000001"/>
    <x v="1"/>
  </r>
  <r>
    <s v="EMP1374"/>
    <s v="Yash Pillai"/>
    <x v="1"/>
    <x v="2"/>
    <s v="VP"/>
    <x v="1"/>
    <n v="50"/>
    <s v="Diploma"/>
    <s v="Active"/>
    <d v="2019-02-21T00:00:00"/>
    <n v="7.3"/>
    <n v="404404"/>
    <n v="0.1225"/>
    <n v="3"/>
    <x v="1"/>
    <n v="7409692785"/>
    <s v="yashpillai@company.com"/>
    <n v="18"/>
    <n v="107"/>
    <s v="EMP1061"/>
    <s v="Valid"/>
    <n v="2"/>
    <s v="Feb"/>
    <n v="2019"/>
    <n v="7"/>
    <s v="50+"/>
    <x v="3"/>
    <x v="2"/>
    <n v="49539.49"/>
    <x v="2"/>
  </r>
  <r>
    <s v="EMP1112"/>
    <s v="Arjun Nair"/>
    <x v="2"/>
    <x v="1"/>
    <s v="Associate"/>
    <x v="1"/>
    <n v="55"/>
    <s v="B.Sc"/>
    <s v="Contract"/>
    <d v="2018-07-05T00:00:00"/>
    <n v="5.2"/>
    <n v="535744"/>
    <n v="6.2400000000000004E-2"/>
    <n v="4"/>
    <x v="0"/>
    <n v="7746196273"/>
    <s v="arjunnair@company.com"/>
    <n v="46"/>
    <n v="35"/>
    <s v="EMP1048"/>
    <s v="Valid"/>
    <n v="7"/>
    <s v="Jul"/>
    <n v="2018"/>
    <n v="7"/>
    <s v="50+"/>
    <x v="1"/>
    <x v="0"/>
    <n v="33430.425600000002"/>
    <x v="2"/>
  </r>
  <r>
    <s v="EMP1419"/>
    <s v="Priya Kumar"/>
    <x v="4"/>
    <x v="5"/>
    <s v="Analyst"/>
    <x v="0"/>
    <n v="56"/>
    <s v="Diploma"/>
    <s v="On Leave"/>
    <d v="2020-10-08T00:00:00"/>
    <n v="3.5"/>
    <n v="999414"/>
    <n v="7.4099999999999999E-2"/>
    <n v="3"/>
    <x v="1"/>
    <n v="8821133740"/>
    <s v="priyakumar@company.com"/>
    <n v="53"/>
    <n v="59"/>
    <s v="EMP1042"/>
    <s v="Valid"/>
    <n v="10"/>
    <s v="Oct"/>
    <n v="2020"/>
    <n v="5"/>
    <s v="50+"/>
    <x v="1"/>
    <x v="2"/>
    <n v="74056.577399999995"/>
    <x v="0"/>
  </r>
  <r>
    <s v="EMP1323"/>
    <s v="Meera Agarwal"/>
    <x v="1"/>
    <x v="1"/>
    <s v="Consultant"/>
    <x v="0"/>
    <n v="27"/>
    <s v="B.Com"/>
    <s v="Active"/>
    <d v="2015-07-16T00:00:00"/>
    <n v="22.7"/>
    <n v="2097403"/>
    <n v="2.5000000000000001E-3"/>
    <n v="3"/>
    <x v="0"/>
    <n v="8523392144"/>
    <s v="meeraagarwalat-company.com"/>
    <n v="76"/>
    <n v="92"/>
    <s v="EMP1086"/>
    <s v="Invalid"/>
    <n v="7"/>
    <s v="Jul"/>
    <n v="2015"/>
    <n v="10"/>
    <s v="20-29"/>
    <x v="4"/>
    <x v="2"/>
    <n v="5243.5074999999997"/>
    <x v="1"/>
  </r>
  <r>
    <s v="EMP1333"/>
    <s v="Kavya Saxena"/>
    <x v="6"/>
    <x v="4"/>
    <s v="Senior Consultant"/>
    <x v="1"/>
    <n v="58"/>
    <s v="M.Tech"/>
    <s v="Contract"/>
    <d v="2018-04-04T00:00:00"/>
    <n v="11.9"/>
    <n v="1275799"/>
    <n v="0.10880000000000001"/>
    <n v="5"/>
    <x v="1"/>
    <n v="9465089568"/>
    <s v="kavyasaxena@company.com"/>
    <n v="25"/>
    <n v="102"/>
    <s v="EMP1064"/>
    <s v="Valid"/>
    <n v="4"/>
    <s v="Apr"/>
    <n v="2018"/>
    <n v="7"/>
    <s v="50+"/>
    <x v="2"/>
    <x v="1"/>
    <n v="138806.93120000002"/>
    <x v="1"/>
  </r>
  <r>
    <s v="EMP1127"/>
    <s v="Alok Saxena"/>
    <x v="4"/>
    <x v="4"/>
    <s v="Senior Consultant"/>
    <x v="0"/>
    <n v="42"/>
    <s v="MBA"/>
    <s v="On Leave"/>
    <d v="2013-05-13T00:00:00"/>
    <n v="18.5"/>
    <n v="1913392"/>
    <n v="0.12809999999999999"/>
    <n v="5"/>
    <x v="1"/>
    <n v="7593478613"/>
    <s v="aloksaxenaat-company.com"/>
    <n v="70"/>
    <n v="91"/>
    <s v="EMP1095"/>
    <s v="Invalid"/>
    <n v="5"/>
    <s v="May"/>
    <n v="2013"/>
    <n v="12"/>
    <s v="40-49"/>
    <x v="0"/>
    <x v="1"/>
    <n v="245105.51519999999"/>
    <x v="1"/>
  </r>
  <r>
    <s v="EMP1407"/>
    <s v="Priya Gupta"/>
    <x v="1"/>
    <x v="0"/>
    <s v="Senior Consultant"/>
    <x v="1"/>
    <n v="39"/>
    <s v="M.Tech"/>
    <s v="Contract"/>
    <d v="2019-08-02T00:00:00"/>
    <n v="21.8"/>
    <n v="1319793"/>
    <n v="1.4800000000000001E-2"/>
    <n v="3"/>
    <x v="1"/>
    <n v="8073080953"/>
    <s v="priyaguptaat-company.com"/>
    <n v="43"/>
    <n v="47"/>
    <s v="EMP1057"/>
    <s v="Invalid"/>
    <n v="8"/>
    <s v="Aug"/>
    <n v="2019"/>
    <n v="6"/>
    <s v="30-39"/>
    <x v="2"/>
    <x v="2"/>
    <n v="19532.936400000002"/>
    <x v="1"/>
  </r>
  <r>
    <s v="EMP1082"/>
    <s v="Suresh Tiwari"/>
    <x v="2"/>
    <x v="2"/>
    <s v="VP"/>
    <x v="0"/>
    <n v="52"/>
    <s v="MBA"/>
    <s v="Contract"/>
    <d v="2010-06-23T00:00:00"/>
    <n v="26.2"/>
    <n v="2424887"/>
    <n v="4.1599999999999998E-2"/>
    <n v="4"/>
    <x v="1"/>
    <n v="7469738105"/>
    <s v="sureshtiwari@company.com"/>
    <n v="72"/>
    <n v="86"/>
    <s v="EMP1083"/>
    <s v="Valid"/>
    <n v="6"/>
    <s v="Jun"/>
    <n v="2010"/>
    <n v="15"/>
    <s v="50+"/>
    <x v="4"/>
    <x v="0"/>
    <n v="100875.29919999999"/>
    <x v="1"/>
  </r>
  <r>
    <s v="EMP1472"/>
    <s v="Vikram Mehta"/>
    <x v="2"/>
    <x v="5"/>
    <s v="Senior Manager"/>
    <x v="1"/>
    <n v="58"/>
    <s v="Diploma"/>
    <s v="Active"/>
    <d v="2014-07-02T00:00:00"/>
    <n v="11.2"/>
    <n v="2034380"/>
    <n v="9.7699999999999995E-2"/>
    <n v="1"/>
    <x v="0"/>
    <n v="7118821302"/>
    <s v="vikrammehtaat-company.com"/>
    <n v="28"/>
    <n v="16"/>
    <s v="EMP1062"/>
    <s v="Invalid"/>
    <n v="7"/>
    <s v="Jul"/>
    <n v="2014"/>
    <n v="11"/>
    <s v="50+"/>
    <x v="4"/>
    <x v="4"/>
    <n v="198758.92599999998"/>
    <x v="1"/>
  </r>
  <r>
    <s v="EMP1422"/>
    <s v="Smita Saxena"/>
    <x v="2"/>
    <x v="2"/>
    <s v="Intern"/>
    <x v="1"/>
    <n v="49"/>
    <s v="M.Tech"/>
    <s v="Contract"/>
    <d v="2014-05-21T00:00:00"/>
    <n v="8.8000000000000007"/>
    <n v="741199"/>
    <n v="0.12140000000000001"/>
    <n v="3"/>
    <x v="1"/>
    <n v="8531848603"/>
    <s v="smitasaxenaat-company.com"/>
    <n v="28"/>
    <n v="85"/>
    <s v="EMP1035"/>
    <s v="Invalid"/>
    <n v="5"/>
    <s v="May"/>
    <n v="2014"/>
    <n v="11"/>
    <s v="40-49"/>
    <x v="1"/>
    <x v="2"/>
    <n v="89981.558600000004"/>
    <x v="2"/>
  </r>
  <r>
    <s v="EMP1452"/>
    <s v="Smita Kulkarni"/>
    <x v="1"/>
    <x v="3"/>
    <s v="Manager"/>
    <x v="1"/>
    <n v="42"/>
    <s v="MBA"/>
    <s v="Active"/>
    <d v="2013-07-16T00:00:00"/>
    <n v="15.8"/>
    <n v="1513503"/>
    <n v="3.2400000000000005E-2"/>
    <n v="3"/>
    <x v="1"/>
    <n v="9938004886"/>
    <s v="smitakulkarni@company.com"/>
    <n v="47"/>
    <n v="110"/>
    <s v="EMP1017"/>
    <s v="Valid"/>
    <n v="7"/>
    <s v="Jul"/>
    <n v="2013"/>
    <n v="12"/>
    <s v="40-49"/>
    <x v="0"/>
    <x v="2"/>
    <n v="49037.497200000005"/>
    <x v="1"/>
  </r>
  <r>
    <s v="EMP1208"/>
    <s v="Arun Rao"/>
    <x v="4"/>
    <x v="4"/>
    <s v="Associate"/>
    <x v="0"/>
    <n v="35"/>
    <s v="MCA"/>
    <s v="Active"/>
    <d v="2017-09-06T00:00:00"/>
    <n v="29.4"/>
    <n v="445496"/>
    <n v="3.9E-2"/>
    <n v="2"/>
    <x v="0"/>
    <n v="9144979311"/>
    <s v="arunrao@company.com"/>
    <n v="69"/>
    <n v="42"/>
    <s v="EMP1083"/>
    <s v="Valid"/>
    <n v="9"/>
    <s v="Sep"/>
    <n v="2017"/>
    <n v="8"/>
    <s v="30-39"/>
    <x v="3"/>
    <x v="3"/>
    <n v="17374.344000000001"/>
    <x v="1"/>
  </r>
  <r>
    <s v="EMP1185"/>
    <s v="Vishal Kapoor"/>
    <x v="2"/>
    <x v="2"/>
    <s v="Senior Consultant"/>
    <x v="1"/>
    <n v="42"/>
    <s v="MBA"/>
    <s v="Contract"/>
    <d v="2011-11-27T00:00:00"/>
    <n v="28.7"/>
    <n v="2167372"/>
    <n v="0.22579999999999997"/>
    <n v="3"/>
    <x v="0"/>
    <n v="7388836304"/>
    <s v="vishalkapoor@companycom"/>
    <n v="0"/>
    <n v="84"/>
    <s v="EMP1020"/>
    <s v="Invalid"/>
    <n v="11"/>
    <s v="Nov"/>
    <n v="2011"/>
    <n v="14"/>
    <s v="40-49"/>
    <x v="4"/>
    <x v="2"/>
    <n v="489392.59759999992"/>
    <x v="1"/>
  </r>
  <r>
    <s v="EMP1241"/>
    <s v="Hemant Gupta"/>
    <x v="4"/>
    <x v="0"/>
    <s v="Associate"/>
    <x v="1"/>
    <n v="50"/>
    <s v="PhD"/>
    <s v="On Leave"/>
    <d v="2017-04-17T00:00:00"/>
    <n v="21.9"/>
    <n v="387270"/>
    <n v="0.24"/>
    <n v="3"/>
    <x v="1"/>
    <n v="7563321747"/>
    <s v="hemantgupta@company.com"/>
    <n v="46"/>
    <n v="102"/>
    <s v="EMP1021"/>
    <s v="Valid"/>
    <n v="4"/>
    <s v="Apr"/>
    <n v="2017"/>
    <n v="8"/>
    <s v="50+"/>
    <x v="3"/>
    <x v="2"/>
    <n v="92944.8"/>
    <x v="1"/>
  </r>
  <r>
    <s v="EMP1022"/>
    <s v="Deepak Patel"/>
    <x v="1"/>
    <x v="5"/>
    <s v="Senior Analyst"/>
    <x v="1"/>
    <n v="23"/>
    <s v="PhD"/>
    <s v="Contract"/>
    <d v="2015-08-18T00:00:00"/>
    <n v="7.7"/>
    <n v="1229442"/>
    <n v="6.2899999999999998E-2"/>
    <n v="3"/>
    <x v="0"/>
    <n v="8420737819"/>
    <s v="deepakpatel@company.com"/>
    <n v="24"/>
    <n v="95"/>
    <s v="EMP1069"/>
    <s v="Valid"/>
    <n v="8"/>
    <s v="Aug"/>
    <n v="2015"/>
    <n v="10"/>
    <s v="20-29"/>
    <x v="2"/>
    <x v="2"/>
    <n v="77331.901799999992"/>
    <x v="2"/>
  </r>
  <r>
    <s v="EMP1055"/>
    <s v="Pallavi Singh"/>
    <x v="1"/>
    <x v="1"/>
    <s v="Intern"/>
    <x v="0"/>
    <n v="29"/>
    <s v="PhD"/>
    <s v="Inactive"/>
    <d v="2011-11-28T00:00:00"/>
    <n v="27"/>
    <n v="610596"/>
    <n v="0.17800000000000002"/>
    <n v="3"/>
    <x v="0"/>
    <n v="9328608265"/>
    <s v="pallavisingh@company.com"/>
    <n v="22"/>
    <n v="65"/>
    <s v="EMP1029"/>
    <s v="Valid"/>
    <n v="11"/>
    <s v="Nov"/>
    <n v="2011"/>
    <n v="14"/>
    <s v="20-29"/>
    <x v="1"/>
    <x v="2"/>
    <n v="108686.08800000002"/>
    <x v="1"/>
  </r>
  <r>
    <s v="EMP1302"/>
    <s v="Alok Chopra"/>
    <x v="0"/>
    <x v="4"/>
    <s v="Senior Manager"/>
    <x v="1"/>
    <n v="31"/>
    <s v="B.Tech"/>
    <s v="Active"/>
    <d v="2015-07-20T00:00:00"/>
    <n v="7.5"/>
    <n v="357247"/>
    <n v="3.8100000000000002E-2"/>
    <n v="3"/>
    <x v="1"/>
    <n v="9087050235"/>
    <s v="alokchopra@company.com"/>
    <n v="31"/>
    <n v="14"/>
    <s v="EMP1034"/>
    <s v="Valid"/>
    <n v="7"/>
    <s v="Jul"/>
    <n v="2015"/>
    <n v="10"/>
    <s v="30-39"/>
    <x v="3"/>
    <x v="2"/>
    <n v="13611.110700000001"/>
    <x v="2"/>
  </r>
  <r>
    <s v="EMP1473"/>
    <s v="Alok Bhat"/>
    <x v="4"/>
    <x v="4"/>
    <s v="Senior Analyst"/>
    <x v="0"/>
    <n v="49"/>
    <s v="PhD"/>
    <s v="Active"/>
    <d v="2012-11-02T00:00:00"/>
    <n v="3"/>
    <n v="2050352"/>
    <n v="7.6999999999999999E-2"/>
    <n v="3"/>
    <x v="1"/>
    <n v="8303509195"/>
    <s v="alokbhat@company.com"/>
    <n v="65"/>
    <n v="96"/>
    <s v="EMP1089"/>
    <s v="Valid"/>
    <n v="11"/>
    <s v="Nov"/>
    <n v="2012"/>
    <n v="13"/>
    <s v="40-49"/>
    <x v="4"/>
    <x v="2"/>
    <n v="157877.10399999999"/>
    <x v="0"/>
  </r>
  <r>
    <s v="EMP1036"/>
    <s v="Shweta Kumar"/>
    <x v="5"/>
    <x v="1"/>
    <s v="Senior Manager"/>
    <x v="1"/>
    <n v="25"/>
    <s v="Diploma"/>
    <s v="On Leave"/>
    <d v="2011-11-07T00:00:00"/>
    <n v="28.5"/>
    <n v="1096114"/>
    <n v="5.1299999999999998E-2"/>
    <n v="5"/>
    <x v="0"/>
    <n v="8432410914"/>
    <s v="shwetakumarat-company.com"/>
    <n v="70"/>
    <n v="27"/>
    <s v="EMP1030"/>
    <s v="Invalid"/>
    <n v="11"/>
    <s v="Nov"/>
    <n v="2011"/>
    <n v="14"/>
    <s v="20-29"/>
    <x v="2"/>
    <x v="1"/>
    <n v="56230.648199999996"/>
    <x v="1"/>
  </r>
  <r>
    <s v="EMP1027"/>
    <s v="Smita Patel"/>
    <x v="0"/>
    <x v="3"/>
    <s v="Senior Manager"/>
    <x v="0"/>
    <n v="53"/>
    <s v="MCA"/>
    <s v="On Leave"/>
    <d v="2015-05-11T00:00:00"/>
    <n v="16.7"/>
    <n v="1979618"/>
    <n v="4.6900000000000004E-2"/>
    <n v="3"/>
    <x v="0"/>
    <n v="9824629834"/>
    <s v="smitapatel@company.com"/>
    <n v="63"/>
    <n v="97"/>
    <s v="EMP1007"/>
    <s v="Valid"/>
    <n v="5"/>
    <s v="May"/>
    <n v="2015"/>
    <n v="10"/>
    <s v="50+"/>
    <x v="0"/>
    <x v="2"/>
    <n v="92844.084200000012"/>
    <x v="1"/>
  </r>
  <r>
    <s v="EMP1470"/>
    <s v="Sachin Chatterjee"/>
    <x v="2"/>
    <x v="2"/>
    <s v="Lead"/>
    <x v="1"/>
    <n v="48"/>
    <s v="Diploma"/>
    <s v="Active"/>
    <d v="2011-05-22T00:00:00"/>
    <n v="21.2"/>
    <n v="1469800"/>
    <n v="4.6699999999999998E-2"/>
    <n v="3"/>
    <x v="1"/>
    <n v="7590675140"/>
    <s v="sachinchatterjee@companycom"/>
    <n v="69"/>
    <n v="33"/>
    <s v="EMP1062"/>
    <s v="Invalid"/>
    <n v="5"/>
    <s v="May"/>
    <n v="2011"/>
    <n v="14"/>
    <s v="40-49"/>
    <x v="2"/>
    <x v="2"/>
    <n v="68639.66"/>
    <x v="1"/>
  </r>
  <r>
    <s v="EMP1441"/>
    <s v="Aarti Mehta"/>
    <x v="0"/>
    <x v="0"/>
    <s v="VP"/>
    <x v="1"/>
    <n v="46"/>
    <s v="PhD"/>
    <s v="Contract"/>
    <d v="2013-04-07T00:00:00"/>
    <n v="12.3"/>
    <n v="1716841"/>
    <n v="0.19800000000000001"/>
    <n v="5"/>
    <x v="1"/>
    <n v="8560855124"/>
    <s v="aartimehta@company.com"/>
    <n v="39"/>
    <n v="18"/>
    <s v="EMP1061"/>
    <s v="Valid"/>
    <n v="4"/>
    <s v="Apr"/>
    <n v="2013"/>
    <n v="12"/>
    <s v="40-49"/>
    <x v="0"/>
    <x v="1"/>
    <n v="339934.51800000004"/>
    <x v="1"/>
  </r>
  <r>
    <s v="EMP1216"/>
    <s v="Shruti Shah"/>
    <x v="6"/>
    <x v="2"/>
    <s v="Intern"/>
    <x v="1"/>
    <n v="28"/>
    <s v="Diploma"/>
    <s v="Active"/>
    <d v="2012-09-01T00:00:00"/>
    <n v="21.6"/>
    <n v="358654"/>
    <n v="0.16839999999999999"/>
    <n v="2"/>
    <x v="0"/>
    <n v="9038887576"/>
    <s v="shrutishah@company.com"/>
    <n v="45"/>
    <n v="54"/>
    <s v="EMP1028"/>
    <s v="Valid"/>
    <n v="9"/>
    <s v="Sep"/>
    <n v="2012"/>
    <n v="13"/>
    <s v="20-29"/>
    <x v="3"/>
    <x v="3"/>
    <n v="60397.333599999998"/>
    <x v="1"/>
  </r>
  <r>
    <s v="EMP1457"/>
    <s v="Rohit Reddy"/>
    <x v="2"/>
    <x v="5"/>
    <s v="Director"/>
    <x v="1"/>
    <n v="48"/>
    <s v="MCA"/>
    <s v="Active"/>
    <d v="2020-07-23T00:00:00"/>
    <n v="16.600000000000001"/>
    <n v="591825"/>
    <n v="1.41E-2"/>
    <n v="2"/>
    <x v="1"/>
    <n v="7683159457"/>
    <s v="rohitreddy@companycom"/>
    <n v="3"/>
    <n v="107"/>
    <s v="EMP1090"/>
    <s v="Invalid"/>
    <n v="7"/>
    <s v="Jul"/>
    <n v="2020"/>
    <n v="5"/>
    <s v="40-49"/>
    <x v="1"/>
    <x v="3"/>
    <n v="8344.7325000000001"/>
    <x v="1"/>
  </r>
  <r>
    <s v="EMP1207"/>
    <s v="Rekha Tiwari"/>
    <x v="4"/>
    <x v="3"/>
    <s v="Director"/>
    <x v="1"/>
    <n v="51"/>
    <s v="CA"/>
    <s v="Contract"/>
    <d v="2013-08-12T00:00:00"/>
    <n v="9.5"/>
    <n v="853456"/>
    <n v="0.17800000000000002"/>
    <n v="1"/>
    <x v="1"/>
    <n v="8958189548"/>
    <s v="rekhatiwariat-company.com"/>
    <n v="22"/>
    <n v="88"/>
    <s v="EMP1086"/>
    <s v="Invalid"/>
    <n v="8"/>
    <s v="Aug"/>
    <n v="2013"/>
    <n v="12"/>
    <s v="50+"/>
    <x v="1"/>
    <x v="4"/>
    <n v="151915.16800000001"/>
    <x v="2"/>
  </r>
  <r>
    <s v="EMP1476"/>
    <s v="Vikram Nair"/>
    <x v="1"/>
    <x v="0"/>
    <s v="Manager"/>
    <x v="1"/>
    <n v="53"/>
    <s v="M.Tech"/>
    <s v="Terminated"/>
    <d v="2016-11-16T00:00:00"/>
    <n v="12.9"/>
    <n v="1462206"/>
    <n v="0.20030000000000001"/>
    <n v="4"/>
    <x v="1"/>
    <n v="7513011414"/>
    <s v="vikramnair@company.com"/>
    <n v="8"/>
    <n v="70"/>
    <s v="EMP1069"/>
    <s v="Valid"/>
    <n v="11"/>
    <s v="Nov"/>
    <n v="2016"/>
    <n v="9"/>
    <s v="50+"/>
    <x v="2"/>
    <x v="0"/>
    <n v="292879.86180000001"/>
    <x v="1"/>
  </r>
  <r>
    <s v="EMP1337"/>
    <s v="Rahul Malhotra"/>
    <x v="3"/>
    <x v="0"/>
    <s v="Senior Manager"/>
    <x v="1"/>
    <n v="41"/>
    <s v="M.Tech"/>
    <s v="On Leave"/>
    <d v="2024-06-13T00:00:00"/>
    <n v="3.6"/>
    <n v="945918"/>
    <n v="7.6799999999999993E-2"/>
    <n v="5"/>
    <x v="0"/>
    <n v="7807254039"/>
    <s v="rahulmalhotraat-company.com"/>
    <n v="13"/>
    <n v="112"/>
    <s v="EMP1014"/>
    <s v="Invalid"/>
    <n v="6"/>
    <s v="Jun"/>
    <n v="2024"/>
    <n v="1"/>
    <s v="40-49"/>
    <x v="1"/>
    <x v="1"/>
    <n v="72646.502399999998"/>
    <x v="0"/>
  </r>
  <r>
    <s v="EMP1283"/>
    <s v="Rahul Singh"/>
    <x v="1"/>
    <x v="0"/>
    <s v="Consultant"/>
    <x v="0"/>
    <n v="33"/>
    <s v="B.Sc"/>
    <s v="Active"/>
    <d v="2017-10-27T00:00:00"/>
    <n v="5.9"/>
    <n v="863429"/>
    <n v="0.22820000000000001"/>
    <n v="4"/>
    <x v="1"/>
    <n v="7824139082"/>
    <s v="rahulsingh@company.com"/>
    <n v="21"/>
    <n v="10"/>
    <s v="EMP1049"/>
    <s v="Valid"/>
    <n v="10"/>
    <s v="Oct"/>
    <n v="2017"/>
    <n v="8"/>
    <s v="30-39"/>
    <x v="1"/>
    <x v="0"/>
    <n v="197034.49780000001"/>
    <x v="2"/>
  </r>
  <r>
    <s v="EMP1153"/>
    <s v="Anjali Singh"/>
    <x v="4"/>
    <x v="0"/>
    <s v="Executive"/>
    <x v="1"/>
    <n v="50"/>
    <s v="M.Tech"/>
    <s v="Terminated"/>
    <d v="2015-06-28T00:00:00"/>
    <n v="5.5"/>
    <n v="850616"/>
    <n v="0.1477"/>
    <n v="4"/>
    <x v="0"/>
    <n v="8910594463"/>
    <s v="anjalisingh@company.com"/>
    <n v="72"/>
    <n v="81"/>
    <s v="EMP1082"/>
    <s v="Valid"/>
    <n v="6"/>
    <s v="Jun"/>
    <n v="2015"/>
    <n v="10"/>
    <s v="50+"/>
    <x v="1"/>
    <x v="0"/>
    <n v="125635.9832"/>
    <x v="2"/>
  </r>
  <r>
    <s v="EMP1280"/>
    <s v="Preeti Saxena"/>
    <x v="1"/>
    <x v="4"/>
    <s v="VP"/>
    <x v="0"/>
    <n v="56"/>
    <s v="MBA"/>
    <s v="Terminated"/>
    <d v="2016-09-20T00:00:00"/>
    <n v="14.2"/>
    <n v="1036936"/>
    <n v="0.1229"/>
    <n v="3"/>
    <x v="1"/>
    <n v="7840592753"/>
    <s v="preetisaxena@companycom"/>
    <n v="50"/>
    <n v="47"/>
    <s v="EMP1050"/>
    <s v="Invalid"/>
    <n v="9"/>
    <s v="Sep"/>
    <n v="2016"/>
    <n v="9"/>
    <s v="50+"/>
    <x v="2"/>
    <x v="2"/>
    <n v="127439.4344"/>
    <x v="1"/>
  </r>
  <r>
    <s v="EMP1354"/>
    <s v="Anjali Bhat"/>
    <x v="3"/>
    <x v="2"/>
    <s v="Manager"/>
    <x v="1"/>
    <n v="54"/>
    <s v="B.Tech"/>
    <s v="Contract"/>
    <d v="2013-02-01T00:00:00"/>
    <n v="9.5"/>
    <n v="1769087"/>
    <n v="1.3000000000000001E-2"/>
    <n v="4"/>
    <x v="0"/>
    <n v="9928915225"/>
    <s v="anjalibhat@company.com"/>
    <n v="16"/>
    <n v="54"/>
    <s v="EMP1071"/>
    <s v="Valid"/>
    <n v="2"/>
    <s v="Feb"/>
    <n v="2013"/>
    <n v="13"/>
    <s v="50+"/>
    <x v="0"/>
    <x v="0"/>
    <n v="22998.131000000001"/>
    <x v="2"/>
  </r>
  <r>
    <s v="EMP1465"/>
    <s v="Aarti Patel"/>
    <x v="1"/>
    <x v="0"/>
    <s v="Manager"/>
    <x v="1"/>
    <n v="38"/>
    <s v="CA"/>
    <s v="Active"/>
    <d v="2017-02-11T00:00:00"/>
    <n v="20.7"/>
    <n v="990809"/>
    <n v="8.7799999999999989E-2"/>
    <n v="3"/>
    <x v="0"/>
    <n v="9246787705"/>
    <s v="aartipatel@companycom"/>
    <n v="13"/>
    <n v="82"/>
    <s v="EMP1059"/>
    <s v="Invalid"/>
    <n v="2"/>
    <s v="Feb"/>
    <n v="2017"/>
    <n v="9"/>
    <s v="30-39"/>
    <x v="1"/>
    <x v="2"/>
    <n v="86993.030199999994"/>
    <x v="1"/>
  </r>
  <r>
    <s v="EMP1454"/>
    <s v="Rajesh Saxena"/>
    <x v="1"/>
    <x v="0"/>
    <s v="Associate"/>
    <x v="0"/>
    <n v="46"/>
    <s v="MBA"/>
    <s v="Contract"/>
    <d v="2017-04-08T00:00:00"/>
    <n v="11.2"/>
    <n v="1458510"/>
    <n v="0.12119999999999999"/>
    <n v="3"/>
    <x v="1"/>
    <n v="9072549881"/>
    <s v="rajeshsaxenaat-company.com"/>
    <n v="68"/>
    <n v="103"/>
    <s v="EMP1083"/>
    <s v="Invalid"/>
    <n v="4"/>
    <s v="Apr"/>
    <n v="2017"/>
    <n v="8"/>
    <s v="40-49"/>
    <x v="2"/>
    <x v="2"/>
    <n v="176771.41199999998"/>
    <x v="1"/>
  </r>
  <r>
    <s v="EMP1416"/>
    <s v="Hemant Kumar"/>
    <x v="6"/>
    <x v="4"/>
    <s v="Senior Analyst"/>
    <x v="1"/>
    <n v="40"/>
    <s v="MBA"/>
    <s v="On Leave"/>
    <d v="2014-06-23T00:00:00"/>
    <n v="7.9"/>
    <n v="741359"/>
    <n v="9.3699999999999992E-2"/>
    <n v="5"/>
    <x v="1"/>
    <n v="8145578899"/>
    <s v="hemantkumarat-company.com"/>
    <n v="4"/>
    <n v="102"/>
    <s v="EMP1050"/>
    <s v="Invalid"/>
    <n v="6"/>
    <s v="Jun"/>
    <n v="2014"/>
    <n v="11"/>
    <s v="40-49"/>
    <x v="1"/>
    <x v="1"/>
    <n v="69465.338299999989"/>
    <x v="2"/>
  </r>
  <r>
    <s v="EMP1461"/>
    <s v="Sinha, Divya"/>
    <x v="1"/>
    <x v="0"/>
    <s v="Senior Consultant"/>
    <x v="0"/>
    <n v="45"/>
    <s v="MBA"/>
    <s v="Active"/>
    <d v="2014-07-21T00:00:00"/>
    <n v="22.4"/>
    <n v="1100212"/>
    <n v="0.15920000000000001"/>
    <n v="2"/>
    <x v="1"/>
    <n v="8962489290"/>
    <s v="sinha,divya@companycom"/>
    <n v="3"/>
    <n v="119"/>
    <s v="EMP1061"/>
    <s v="Invalid"/>
    <n v="7"/>
    <s v="Jul"/>
    <n v="2014"/>
    <n v="11"/>
    <s v="40-49"/>
    <x v="2"/>
    <x v="3"/>
    <n v="175153.75040000002"/>
    <x v="1"/>
  </r>
  <r>
    <s v="EMP1440"/>
    <s v="Swati Desai"/>
    <x v="1"/>
    <x v="2"/>
    <s v="Senior Analyst"/>
    <x v="1"/>
    <n v="44"/>
    <s v="CA"/>
    <s v="Terminated"/>
    <d v="2024-06-08T00:00:00"/>
    <n v="27"/>
    <n v="2208342"/>
    <n v="0.1079"/>
    <n v="3"/>
    <x v="0"/>
    <n v="8104712613"/>
    <s v="swatidesaiat-company.com"/>
    <n v="5"/>
    <n v="90"/>
    <s v="EMP1070"/>
    <s v="Invalid"/>
    <n v="6"/>
    <s v="Jun"/>
    <n v="2024"/>
    <n v="1"/>
    <s v="40-49"/>
    <x v="4"/>
    <x v="2"/>
    <n v="238280.1018"/>
    <x v="1"/>
  </r>
  <r>
    <s v="EMP1387"/>
    <s v="Piyush Gupta"/>
    <x v="2"/>
    <x v="1"/>
    <s v="Analyst"/>
    <x v="1"/>
    <n v="32"/>
    <s v="PhD"/>
    <s v="On Leave"/>
    <d v="2012-04-28T00:00:00"/>
    <n v="5.6"/>
    <n v="918622"/>
    <n v="8.6199999999999999E-2"/>
    <n v="2"/>
    <x v="1"/>
    <n v="9940822421"/>
    <s v="piyushgupta@companycom"/>
    <n v="50"/>
    <n v="116"/>
    <s v="EMP1061"/>
    <s v="Invalid"/>
    <n v="4"/>
    <s v="Apr"/>
    <n v="2012"/>
    <n v="13"/>
    <s v="30-39"/>
    <x v="1"/>
    <x v="3"/>
    <n v="79185.216400000005"/>
    <x v="2"/>
  </r>
  <r>
    <s v="EMP1431"/>
    <s v="Nitin Tiwari"/>
    <x v="6"/>
    <x v="4"/>
    <s v="Lead"/>
    <x v="0"/>
    <n v="57"/>
    <s v="B.Tech"/>
    <s v="Active"/>
    <d v="2010-01-11T00:00:00"/>
    <n v="0.6"/>
    <n v="1865091"/>
    <n v="4.7100000000000003E-2"/>
    <n v="1"/>
    <x v="1"/>
    <n v="9419632965"/>
    <s v="nitintiwari@company.com"/>
    <n v="23"/>
    <n v="44"/>
    <s v="EMP1013"/>
    <s v="Valid"/>
    <n v="1"/>
    <s v="Jan"/>
    <n v="2010"/>
    <n v="16"/>
    <s v="50+"/>
    <x v="0"/>
    <x v="4"/>
    <n v="87845.786100000012"/>
    <x v="3"/>
  </r>
  <r>
    <s v="EMP1160"/>
    <s v="Komal Iyer"/>
    <x v="2"/>
    <x v="4"/>
    <s v="Lead"/>
    <x v="1"/>
    <n v="33"/>
    <s v="B.Tech"/>
    <s v="Active"/>
    <d v="2020-07-22T00:00:00"/>
    <n v="6.2"/>
    <n v="1147580"/>
    <n v="3.3E-3"/>
    <n v="5"/>
    <x v="1"/>
    <n v="7210821160"/>
    <s v="komaliyerat-company.com"/>
    <n v="62"/>
    <n v="106"/>
    <s v="EMP1011"/>
    <s v="Invalid"/>
    <n v="7"/>
    <s v="Jul"/>
    <n v="2020"/>
    <n v="5"/>
    <s v="30-39"/>
    <x v="2"/>
    <x v="1"/>
    <n v="3787.0140000000001"/>
    <x v="2"/>
  </r>
  <r>
    <s v="EMP1142"/>
    <s v="Mishra, Vishal"/>
    <x v="6"/>
    <x v="3"/>
    <s v="Consultant"/>
    <x v="0"/>
    <n v="45"/>
    <s v="Diploma"/>
    <s v="On Leave"/>
    <d v="2016-06-19T00:00:00"/>
    <n v="24.2"/>
    <n v="2099172"/>
    <n v="2.1000000000000001E-2"/>
    <n v="5"/>
    <x v="1"/>
    <n v="8093146603"/>
    <s v="mishra,vishal@company.com"/>
    <n v="69"/>
    <n v="24"/>
    <s v="EMP1001"/>
    <s v="Valid"/>
    <n v="6"/>
    <s v="Jun"/>
    <n v="2016"/>
    <n v="9"/>
    <s v="40-49"/>
    <x v="4"/>
    <x v="1"/>
    <n v="44082.612000000001"/>
    <x v="1"/>
  </r>
  <r>
    <s v="EMP1026"/>
    <s v="Hemant Sinha"/>
    <x v="6"/>
    <x v="1"/>
    <s v="Senior Consultant"/>
    <x v="0"/>
    <n v="50"/>
    <s v="BBA"/>
    <s v="Contract"/>
    <d v="2010-02-08T00:00:00"/>
    <n v="22.2"/>
    <n v="467188"/>
    <n v="0.1176"/>
    <n v="5"/>
    <x v="0"/>
    <n v="9887427412"/>
    <s v="hemantsinha@company.com"/>
    <n v="35"/>
    <n v="74"/>
    <s v="EMP1056"/>
    <s v="Valid"/>
    <n v="2"/>
    <s v="Feb"/>
    <n v="2010"/>
    <n v="16"/>
    <s v="50+"/>
    <x v="3"/>
    <x v="1"/>
    <n v="54941.308799999999"/>
    <x v="1"/>
  </r>
  <r>
    <s v="EMP1119"/>
    <s v="Sanjay Bose"/>
    <x v="0"/>
    <x v="0"/>
    <s v="Consultant"/>
    <x v="0"/>
    <n v="44"/>
    <s v="MCA"/>
    <s v="Contract"/>
    <d v="2013-04-24T00:00:00"/>
    <n v="27.6"/>
    <n v="991571"/>
    <n v="0.19800000000000001"/>
    <n v="4"/>
    <x v="1"/>
    <n v="9167384632"/>
    <s v="sanjaybose@companycom"/>
    <n v="32"/>
    <n v="79"/>
    <s v="EMP1007"/>
    <s v="Invalid"/>
    <n v="4"/>
    <s v="Apr"/>
    <n v="2013"/>
    <n v="12"/>
    <s v="40-49"/>
    <x v="1"/>
    <x v="0"/>
    <n v="196331.05800000002"/>
    <x v="1"/>
  </r>
  <r>
    <s v="EMP1041"/>
    <s v="Kavya Menon"/>
    <x v="6"/>
    <x v="3"/>
    <s v="Manager"/>
    <x v="1"/>
    <n v="46"/>
    <s v="Diploma"/>
    <s v="Inactive"/>
    <d v="2019-10-03T00:00:00"/>
    <n v="9.6999999999999993"/>
    <n v="1729821"/>
    <n v="0.106"/>
    <n v="3"/>
    <x v="1"/>
    <n v="7213728259"/>
    <s v="kavyamenon@company.com"/>
    <n v="53"/>
    <n v="96"/>
    <s v="EMP1066"/>
    <s v="Valid"/>
    <n v="10"/>
    <s v="Oct"/>
    <n v="2019"/>
    <n v="6"/>
    <s v="40-49"/>
    <x v="0"/>
    <x v="2"/>
    <n v="183361.02599999998"/>
    <x v="2"/>
  </r>
  <r>
    <s v="EMP1410"/>
    <s v="Alok Agarwal"/>
    <x v="1"/>
    <x v="3"/>
    <s v="Consultant"/>
    <x v="1"/>
    <n v="39"/>
    <s v="MBA"/>
    <s v="On Leave"/>
    <d v="2015-08-17T00:00:00"/>
    <n v="2.7"/>
    <n v="938395"/>
    <n v="4.6999999999999993E-3"/>
    <n v="3"/>
    <x v="0"/>
    <n v="9468480251"/>
    <s v="alokagarwal@company.com"/>
    <n v="54"/>
    <n v="109"/>
    <s v="EMP1029"/>
    <s v="Valid"/>
    <n v="8"/>
    <s v="Aug"/>
    <n v="2015"/>
    <n v="10"/>
    <s v="30-39"/>
    <x v="1"/>
    <x v="2"/>
    <n v="4410.4564999999993"/>
    <x v="0"/>
  </r>
  <r>
    <s v="EMP1299"/>
    <s v="Sunita Chopra"/>
    <x v="1"/>
    <x v="3"/>
    <s v="Intern"/>
    <x v="0"/>
    <n v="32"/>
    <s v="CA"/>
    <s v="Contract"/>
    <d v="2012-09-12T00:00:00"/>
    <n v="5.7"/>
    <n v="2495786"/>
    <n v="6.2400000000000004E-2"/>
    <n v="3"/>
    <x v="1"/>
    <n v="8603241272"/>
    <s v="sunitachopraat-company.com"/>
    <n v="15"/>
    <n v="61"/>
    <s v="EMP1038"/>
    <s v="Invalid"/>
    <n v="9"/>
    <s v="Sep"/>
    <n v="2012"/>
    <n v="13"/>
    <s v="30-39"/>
    <x v="4"/>
    <x v="2"/>
    <n v="155737.04640000002"/>
    <x v="2"/>
  </r>
  <r>
    <s v="EMP1109"/>
    <s v="Tejas Menon"/>
    <x v="0"/>
    <x v="5"/>
    <s v="Lead"/>
    <x v="0"/>
    <n v="58"/>
    <s v="Diploma"/>
    <s v="Contract"/>
    <d v="2010-09-19T00:00:00"/>
    <n v="12.1"/>
    <n v="2297588"/>
    <n v="0.23730000000000001"/>
    <n v="5"/>
    <x v="1"/>
    <n v="7633282877"/>
    <s v="tejasmenon@company.com"/>
    <n v="27"/>
    <n v="16"/>
    <s v="EMP1006"/>
    <s v="Valid"/>
    <n v="9"/>
    <s v="Sep"/>
    <n v="2010"/>
    <n v="15"/>
    <s v="50+"/>
    <x v="4"/>
    <x v="1"/>
    <n v="545217.6324"/>
    <x v="1"/>
  </r>
  <r>
    <s v="EMP1296"/>
    <s v="Vikram Gupta"/>
    <x v="0"/>
    <x v="5"/>
    <s v="Executive"/>
    <x v="0"/>
    <n v="22"/>
    <s v="M.Tech"/>
    <s v="Terminated"/>
    <d v="2012-09-24T00:00:00"/>
    <n v="3.6"/>
    <n v="1232081"/>
    <n v="7.0499999999999993E-2"/>
    <n v="5"/>
    <x v="1"/>
    <n v="7410343578"/>
    <s v="vikramgupta@company.com"/>
    <n v="12"/>
    <n v="21"/>
    <s v="EMP1041"/>
    <s v="Valid"/>
    <n v="9"/>
    <s v="Sep"/>
    <n v="2012"/>
    <n v="13"/>
    <s v="20-29"/>
    <x v="2"/>
    <x v="1"/>
    <n v="86861.710499999986"/>
    <x v="0"/>
  </r>
  <r>
    <s v="EMP1094"/>
    <s v="Patel, Bhavna"/>
    <x v="2"/>
    <x v="4"/>
    <s v="Executive"/>
    <x v="1"/>
    <n v="47"/>
    <s v="B.Tech"/>
    <s v="Active"/>
    <d v="2020-09-18T00:00:00"/>
    <n v="13"/>
    <n v="2401551"/>
    <n v="9.7699999999999995E-2"/>
    <n v="5"/>
    <x v="1"/>
    <n v="9196036938"/>
    <s v="patel,bhavna@company.com"/>
    <n v="8"/>
    <n v="55"/>
    <s v="EMP1094"/>
    <s v="Valid"/>
    <n v="9"/>
    <s v="Sep"/>
    <n v="2020"/>
    <n v="5"/>
    <s v="40-49"/>
    <x v="4"/>
    <x v="1"/>
    <n v="234631.53269999998"/>
    <x v="1"/>
  </r>
  <r>
    <s v="EMP1455"/>
    <s v="Ankit Pandey"/>
    <x v="6"/>
    <x v="1"/>
    <s v="Lead"/>
    <x v="0"/>
    <n v="49"/>
    <s v="M.Tech"/>
    <s v="On Leave"/>
    <d v="2010-11-21T00:00:00"/>
    <n v="6.5"/>
    <n v="345776"/>
    <n v="0.111"/>
    <n v="2"/>
    <x v="1"/>
    <n v="8918497883"/>
    <s v="ankitpandey@company.com"/>
    <n v="35"/>
    <n v="25"/>
    <s v="EMP1091"/>
    <s v="Valid"/>
    <n v="11"/>
    <s v="Nov"/>
    <n v="2010"/>
    <n v="15"/>
    <s v="40-49"/>
    <x v="3"/>
    <x v="3"/>
    <n v="38381.135999999999"/>
    <x v="2"/>
  </r>
  <r>
    <s v="EMP1394"/>
    <s v="Nisha Pillai"/>
    <x v="2"/>
    <x v="1"/>
    <s v="Director"/>
    <x v="1"/>
    <n v="31"/>
    <s v="MCA"/>
    <s v="Contract"/>
    <d v="2014-07-02T00:00:00"/>
    <n v="21.1"/>
    <n v="2392851"/>
    <n v="0.2462"/>
    <n v="5"/>
    <x v="1"/>
    <n v="9410875655"/>
    <s v="nishapillai@companycom"/>
    <n v="37"/>
    <n v="57"/>
    <s v="EMP1087"/>
    <s v="Invalid"/>
    <n v="7"/>
    <s v="Jul"/>
    <n v="2014"/>
    <n v="11"/>
    <s v="30-39"/>
    <x v="4"/>
    <x v="1"/>
    <n v="589119.91619999998"/>
    <x v="1"/>
  </r>
  <r>
    <s v="EMP1049"/>
    <s v="Ankit Mehta"/>
    <x v="1"/>
    <x v="5"/>
    <s v="Director"/>
    <x v="1"/>
    <n v="40"/>
    <s v="Diploma"/>
    <s v="Active"/>
    <d v="2016-02-08T00:00:00"/>
    <n v="27.2"/>
    <n v="972398"/>
    <n v="0.24859999999999999"/>
    <n v="3"/>
    <x v="0"/>
    <n v="7228736604"/>
    <s v="ankitmehta@company.com"/>
    <n v="3"/>
    <n v="12"/>
    <s v="EMP1092"/>
    <s v="Valid"/>
    <n v="2"/>
    <s v="Feb"/>
    <n v="2016"/>
    <n v="10"/>
    <s v="40-49"/>
    <x v="1"/>
    <x v="2"/>
    <n v="241738.1428"/>
    <x v="1"/>
  </r>
  <r>
    <s v="EMP1059"/>
    <s v="Rohit Verma"/>
    <x v="4"/>
    <x v="0"/>
    <s v="Senior Analyst"/>
    <x v="0"/>
    <n v="34"/>
    <s v="MCA"/>
    <s v="On Leave"/>
    <d v="2017-01-03T00:00:00"/>
    <n v="14.3"/>
    <n v="2389877"/>
    <n v="0.12369999999999999"/>
    <n v="4"/>
    <x v="1"/>
    <n v="7924038246"/>
    <s v="rohitvermaat-company.com"/>
    <n v="60"/>
    <n v="1"/>
    <s v="EMP1014"/>
    <s v="Invalid"/>
    <n v="1"/>
    <s v="Jan"/>
    <n v="2017"/>
    <n v="9"/>
    <s v="30-39"/>
    <x v="4"/>
    <x v="0"/>
    <n v="295627.78489999997"/>
    <x v="1"/>
  </r>
  <r>
    <s v="EMP1052"/>
    <s v="Gaurav Tiwari"/>
    <x v="6"/>
    <x v="5"/>
    <s v="Associate"/>
    <x v="0"/>
    <n v="24"/>
    <s v="BBA"/>
    <s v="Inactive"/>
    <d v="2023-09-16T00:00:00"/>
    <n v="9.6"/>
    <n v="475766"/>
    <n v="0.10920000000000001"/>
    <n v="4"/>
    <x v="0"/>
    <n v="9816344780"/>
    <s v="gauravtiwariat-company.com"/>
    <n v="56"/>
    <n v="49"/>
    <s v="EMP1044"/>
    <s v="Invalid"/>
    <n v="9"/>
    <s v="Sep"/>
    <n v="2023"/>
    <n v="2"/>
    <s v="20-29"/>
    <x v="3"/>
    <x v="0"/>
    <n v="51953.647199999999"/>
    <x v="2"/>
  </r>
  <r>
    <s v="EMP1307"/>
    <s v="Yash Sharma"/>
    <x v="1"/>
    <x v="0"/>
    <s v="Senior Consultant"/>
    <x v="0"/>
    <n v="40"/>
    <s v="BBA"/>
    <s v="Inactive"/>
    <d v="2010-11-05T00:00:00"/>
    <n v="1.8"/>
    <n v="799555"/>
    <n v="5.2499999999999998E-2"/>
    <n v="5"/>
    <x v="1"/>
    <n v="7221276607"/>
    <s v="yashsharma@company.com"/>
    <n v="44"/>
    <n v="47"/>
    <s v="EMP1042"/>
    <s v="Valid"/>
    <n v="11"/>
    <s v="Nov"/>
    <n v="2010"/>
    <n v="15"/>
    <s v="40-49"/>
    <x v="1"/>
    <x v="1"/>
    <n v="41976.637499999997"/>
    <x v="3"/>
  </r>
  <r>
    <s v="EMP1309"/>
    <s v="Sachin Rao"/>
    <x v="2"/>
    <x v="0"/>
    <s v="Senior Manager"/>
    <x v="1"/>
    <n v="33"/>
    <s v="B.Com"/>
    <s v="Contract"/>
    <d v="2020-05-01T00:00:00"/>
    <n v="15"/>
    <n v="1038661"/>
    <n v="0.11380000000000001"/>
    <n v="3"/>
    <x v="1"/>
    <n v="7806801100"/>
    <s v="sachinrao@company.com"/>
    <n v="51"/>
    <n v="67"/>
    <s v="EMP1018"/>
    <s v="Valid"/>
    <n v="5"/>
    <s v="May"/>
    <n v="2020"/>
    <n v="5"/>
    <s v="30-39"/>
    <x v="2"/>
    <x v="2"/>
    <n v="118199.62180000001"/>
    <x v="1"/>
  </r>
  <r>
    <s v="EMP1071"/>
    <s v="Vishal Kumar"/>
    <x v="2"/>
    <x v="0"/>
    <s v="Executive"/>
    <x v="1"/>
    <n v="58"/>
    <s v="CA"/>
    <s v="On Leave"/>
    <d v="2018-04-14T00:00:00"/>
    <n v="26.3"/>
    <n v="1644966"/>
    <n v="1.1699999999999999E-2"/>
    <n v="1"/>
    <x v="1"/>
    <n v="7752191321"/>
    <s v="vishalkumar@company.com"/>
    <n v="48"/>
    <n v="40"/>
    <s v="EMP1090"/>
    <s v="Valid"/>
    <n v="4"/>
    <s v="Apr"/>
    <n v="2018"/>
    <n v="7"/>
    <s v="50+"/>
    <x v="0"/>
    <x v="4"/>
    <n v="19246.102199999998"/>
    <x v="1"/>
  </r>
  <r>
    <s v="EMP1048"/>
    <s v="Ankit Desai"/>
    <x v="6"/>
    <x v="5"/>
    <s v="Intern"/>
    <x v="0"/>
    <n v="48"/>
    <s v="PhD"/>
    <s v="Active"/>
    <d v="2022-08-08T00:00:00"/>
    <n v="18.5"/>
    <n v="1296273"/>
    <n v="0.11539999999999999"/>
    <n v="5"/>
    <x v="1"/>
    <n v="7833293142"/>
    <s v="ankitdesaiat-company.com"/>
    <n v="48"/>
    <n v="53"/>
    <s v="EMP1021"/>
    <s v="Invalid"/>
    <n v="8"/>
    <s v="Aug"/>
    <n v="2022"/>
    <n v="3"/>
    <s v="40-49"/>
    <x v="2"/>
    <x v="1"/>
    <n v="149589.90419999999"/>
    <x v="1"/>
  </r>
  <r>
    <s v="EMP1365"/>
    <s v="Nisha Bhat"/>
    <x v="4"/>
    <x v="3"/>
    <s v="Senior Manager"/>
    <x v="0"/>
    <n v="50"/>
    <s v="MBA"/>
    <s v="On Leave"/>
    <d v="2021-03-24T00:00:00"/>
    <n v="13.4"/>
    <n v="2186403"/>
    <n v="9.2499999999999999E-2"/>
    <n v="5"/>
    <x v="0"/>
    <n v="7359873139"/>
    <s v="nishabhat@company.com"/>
    <n v="48"/>
    <n v="22"/>
    <s v="EMP1066"/>
    <s v="Valid"/>
    <n v="3"/>
    <s v="Mar"/>
    <n v="2021"/>
    <n v="4"/>
    <s v="50+"/>
    <x v="4"/>
    <x v="1"/>
    <n v="202242.2775"/>
    <x v="1"/>
  </r>
  <r>
    <s v="EMP1146"/>
    <s v="Nitin Shah"/>
    <x v="4"/>
    <x v="1"/>
    <s v="Associate"/>
    <x v="0"/>
    <n v="38"/>
    <s v="CA"/>
    <s v="Active"/>
    <d v="2011-09-09T00:00:00"/>
    <n v="2.6"/>
    <n v="2423316"/>
    <n v="8.4900000000000003E-2"/>
    <n v="5"/>
    <x v="1"/>
    <n v="8619547472"/>
    <s v="nitinshah@companycom"/>
    <n v="58"/>
    <n v="110"/>
    <s v="EMP1004"/>
    <s v="Invalid"/>
    <n v="9"/>
    <s v="Sep"/>
    <n v="2011"/>
    <n v="14"/>
    <s v="30-39"/>
    <x v="4"/>
    <x v="1"/>
    <n v="205739.52840000001"/>
    <x v="0"/>
  </r>
  <r>
    <s v="EMP1379"/>
    <s v="Komal Mehta"/>
    <x v="2"/>
    <x v="1"/>
    <s v="Senior Manager"/>
    <x v="0"/>
    <n v="49"/>
    <s v="B.Com"/>
    <s v="Contract"/>
    <d v="2016-07-25T00:00:00"/>
    <n v="22.9"/>
    <n v="1671912"/>
    <n v="0.23879999999999998"/>
    <n v="4"/>
    <x v="0"/>
    <n v="8361384034"/>
    <s v="komalmehta@companycom"/>
    <n v="35"/>
    <n v="107"/>
    <s v="EMP1056"/>
    <s v="Invalid"/>
    <n v="7"/>
    <s v="Jul"/>
    <n v="2016"/>
    <n v="9"/>
    <s v="40-49"/>
    <x v="0"/>
    <x v="0"/>
    <n v="399252.58559999999"/>
    <x v="1"/>
  </r>
  <r>
    <s v="EMP1256"/>
    <s v="Yash Mehta"/>
    <x v="1"/>
    <x v="4"/>
    <s v="Manager"/>
    <x v="0"/>
    <n v="47"/>
    <s v="B.Sc"/>
    <s v="Contract"/>
    <d v="2017-11-04T00:00:00"/>
    <n v="26.8"/>
    <n v="625155"/>
    <n v="0.24590000000000001"/>
    <n v="3"/>
    <x v="1"/>
    <n v="8661083050"/>
    <s v="yashmehta@companycom"/>
    <n v="47"/>
    <n v="56"/>
    <s v="EMP1002"/>
    <s v="Invalid"/>
    <n v="11"/>
    <s v="Nov"/>
    <n v="2017"/>
    <n v="8"/>
    <s v="40-49"/>
    <x v="1"/>
    <x v="2"/>
    <n v="153725.6145"/>
    <x v="1"/>
  </r>
  <r>
    <s v="EMP1039"/>
    <s v="Manish Kulkarni"/>
    <x v="0"/>
    <x v="2"/>
    <s v="Senior Manager"/>
    <x v="1"/>
    <n v="38"/>
    <s v="B.Sc"/>
    <s v="On Leave"/>
    <d v="2011-02-14T00:00:00"/>
    <n v="14.5"/>
    <n v="940214"/>
    <n v="0.16750000000000001"/>
    <n v="3"/>
    <x v="0"/>
    <n v="7257616339"/>
    <s v="manishkulkarni@company.com"/>
    <n v="54"/>
    <n v="92"/>
    <s v="EMP1007"/>
    <s v="Valid"/>
    <n v="2"/>
    <s v="Feb"/>
    <n v="2011"/>
    <n v="15"/>
    <s v="30-39"/>
    <x v="1"/>
    <x v="2"/>
    <n v="157485.845"/>
    <x v="1"/>
  </r>
  <r>
    <s v="EMP1211"/>
    <s v="Meera Chatterjee"/>
    <x v="0"/>
    <x v="4"/>
    <s v="Intern"/>
    <x v="0"/>
    <n v="48"/>
    <s v="MBA"/>
    <s v="Active"/>
    <d v="2022-03-07T00:00:00"/>
    <n v="16.899999999999999"/>
    <n v="1446424"/>
    <n v="7.5999999999999998E-2"/>
    <n v="3"/>
    <x v="1"/>
    <n v="7181388972"/>
    <s v="meerachatterjeeat-company.com"/>
    <n v="59"/>
    <n v="101"/>
    <s v="EMP1001"/>
    <s v="Invalid"/>
    <n v="3"/>
    <s v="Mar"/>
    <n v="2022"/>
    <n v="4"/>
    <s v="40-49"/>
    <x v="2"/>
    <x v="2"/>
    <n v="109928.224"/>
    <x v="1"/>
  </r>
  <r>
    <s v="EMP1436"/>
    <s v="Aarti Verma"/>
    <x v="4"/>
    <x v="3"/>
    <s v="Executive"/>
    <x v="0"/>
    <n v="35"/>
    <s v="CA"/>
    <s v="Terminated"/>
    <d v="2016-05-27T00:00:00"/>
    <n v="0.8"/>
    <n v="1443429"/>
    <n v="0.11230000000000001"/>
    <n v="4"/>
    <x v="0"/>
    <n v="9690956330"/>
    <s v="aartiverma@companycom"/>
    <n v="28"/>
    <n v="14"/>
    <s v="EMP1015"/>
    <s v="Invalid"/>
    <n v="5"/>
    <s v="May"/>
    <n v="2016"/>
    <n v="9"/>
    <s v="30-39"/>
    <x v="2"/>
    <x v="0"/>
    <n v="162097.07670000001"/>
    <x v="3"/>
  </r>
  <r>
    <s v="EMP1175"/>
    <s v="Sachin Iyer"/>
    <x v="2"/>
    <x v="1"/>
    <s v="Manager"/>
    <x v="0"/>
    <n v="53"/>
    <s v="B.Tech"/>
    <s v="Contract"/>
    <d v="2020-08-15T00:00:00"/>
    <n v="15.1"/>
    <n v="324119"/>
    <n v="0.1394"/>
    <n v="2"/>
    <x v="0"/>
    <n v="8051035049"/>
    <s v="sachiniyer@companycom"/>
    <n v="6"/>
    <n v="7"/>
    <s v="EMP1084"/>
    <s v="Invalid"/>
    <n v="8"/>
    <s v="Aug"/>
    <n v="2020"/>
    <n v="5"/>
    <s v="50+"/>
    <x v="3"/>
    <x v="3"/>
    <n v="45182.188600000001"/>
    <x v="1"/>
  </r>
  <r>
    <s v="EMP1079"/>
    <s v="Archana Banerjee"/>
    <x v="0"/>
    <x v="1"/>
    <s v="Senior Manager"/>
    <x v="1"/>
    <n v="50"/>
    <s v="B.Tech"/>
    <s v="Terminated"/>
    <d v="2018-09-17T00:00:00"/>
    <n v="3.1"/>
    <n v="1431482"/>
    <n v="3.0999999999999999E-3"/>
    <n v="1"/>
    <x v="0"/>
    <n v="7399707954"/>
    <s v="archanabanerjee@company.com"/>
    <n v="10"/>
    <n v="71"/>
    <s v="EMP1032"/>
    <s v="Valid"/>
    <n v="9"/>
    <s v="Sep"/>
    <n v="2018"/>
    <n v="7"/>
    <s v="50+"/>
    <x v="2"/>
    <x v="4"/>
    <n v="4437.5941999999995"/>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261D726-12FB-445F-AB87-D9B1F810C9E4}" name="PivotTable4" cacheId="0" applyNumberFormats="0" applyBorderFormats="0" applyFontFormats="0" applyPatternFormats="0" applyAlignmentFormats="0" applyWidthHeightFormats="1" dataCaption="Values" updatedVersion="7" minRefreshableVersion="3" useAutoFormatting="1" itemPrintTitles="1" createdVersion="7" indent="0" compact="0" compactData="0" multipleFieldFilters="0" chartFormat="9" rowHeaderCaption="Location" colHeaderCaption="Gender">
  <location ref="M2:P10" firstHeaderRow="1" firstDataRow="2" firstDataCol="1"/>
  <pivotFields count="30">
    <pivotField dataField="1" compact="0" outline="0" showAll="0"/>
    <pivotField compact="0" outline="0" showAll="0"/>
    <pivotField compact="0" outline="0" showAll="0">
      <items count="8">
        <item x="1"/>
        <item x="0"/>
        <item x="4"/>
        <item x="5"/>
        <item x="3"/>
        <item x="6"/>
        <item x="2"/>
        <item t="default"/>
      </items>
    </pivotField>
    <pivotField axis="axisRow" compact="0" outline="0" showAll="0">
      <items count="7">
        <item x="0"/>
        <item x="2"/>
        <item x="1"/>
        <item x="3"/>
        <item x="4"/>
        <item x="5"/>
        <item t="default"/>
      </items>
    </pivotField>
    <pivotField compact="0" outline="0" showAll="0"/>
    <pivotField axis="axisCol" compact="0" outline="0" showAll="0">
      <items count="3">
        <item x="1"/>
        <item x="0"/>
        <item t="default"/>
      </items>
    </pivotField>
    <pivotField compact="0" outline="0" showAll="0"/>
    <pivotField compact="0" outline="0" showAll="0"/>
    <pivotField compact="0" outline="0" showAll="0"/>
    <pivotField compact="0" numFmtId="14" outline="0" showAll="0"/>
    <pivotField compact="0" numFmtId="164" outline="0" showAll="0"/>
    <pivotField compact="0" numFmtId="165" outline="0" showAll="0"/>
    <pivotField compact="0" numFmtId="166" outline="0" showAll="0"/>
    <pivotField compact="0" numFmtId="3" outline="0" showAll="0"/>
    <pivotField compact="0" outline="0" showAll="0"/>
    <pivotField compact="0" outline="0" showAll="0"/>
    <pivotField compact="0" outline="0" showAll="0"/>
    <pivotField compact="0" numFmtId="1" outline="0" showAll="0"/>
    <pivotField compact="0" numFmtId="1"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5" outline="0" showAll="0"/>
    <pivotField compact="0" outline="0" showAll="0"/>
  </pivotFields>
  <rowFields count="1">
    <field x="3"/>
  </rowFields>
  <rowItems count="7">
    <i>
      <x/>
    </i>
    <i>
      <x v="1"/>
    </i>
    <i>
      <x v="2"/>
    </i>
    <i>
      <x v="3"/>
    </i>
    <i>
      <x v="4"/>
    </i>
    <i>
      <x v="5"/>
    </i>
    <i t="grand">
      <x/>
    </i>
  </rowItems>
  <colFields count="1">
    <field x="5"/>
  </colFields>
  <colItems count="3">
    <i>
      <x/>
    </i>
    <i>
      <x v="1"/>
    </i>
    <i t="grand">
      <x/>
    </i>
  </colItems>
  <dataFields count="1">
    <dataField name="Count of Employees" fld="0" subtotal="count" baseField="0" baseItem="0" numFmtId="3"/>
  </dataFields>
  <chartFormats count="4">
    <chartFormat chart="5" format="2" series="1">
      <pivotArea type="data" outline="0" fieldPosition="0">
        <references count="2">
          <reference field="4294967294" count="1" selected="0">
            <x v="0"/>
          </reference>
          <reference field="5" count="1" selected="0">
            <x v="0"/>
          </reference>
        </references>
      </pivotArea>
    </chartFormat>
    <chartFormat chart="5" format="3" series="1">
      <pivotArea type="data" outline="0" fieldPosition="0">
        <references count="2">
          <reference field="4294967294" count="1" selected="0">
            <x v="0"/>
          </reference>
          <reference field="5" count="1" selected="0">
            <x v="1"/>
          </reference>
        </references>
      </pivotArea>
    </chartFormat>
    <chartFormat chart="8" format="6" series="1">
      <pivotArea type="data" outline="0" fieldPosition="0">
        <references count="2">
          <reference field="4294967294" count="1" selected="0">
            <x v="0"/>
          </reference>
          <reference field="5" count="1" selected="0">
            <x v="0"/>
          </reference>
        </references>
      </pivotArea>
    </chartFormat>
    <chartFormat chart="8" format="7"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41B6AEA-94CD-4138-8D04-B742AC0DC5B5}" name="PivotTable3" cacheId="0" applyNumberFormats="0" applyBorderFormats="0" applyFontFormats="0" applyPatternFormats="0" applyAlignmentFormats="0" applyWidthHeightFormats="1" dataCaption="Values" updatedVersion="7" minRefreshableVersion="3" useAutoFormatting="1" itemPrintTitles="1" createdVersion="7" indent="0" compact="0" compactData="0" multipleFieldFilters="0" chartFormat="6" rowHeaderCaption="Performance Category">
  <location ref="J2:K8" firstHeaderRow="1" firstDataRow="1" firstDataCol="1"/>
  <pivotFields count="30">
    <pivotField dataField="1" compact="0" outline="0" showAll="0"/>
    <pivotField compact="0" outline="0" showAll="0"/>
    <pivotField compact="0" outline="0" showAll="0">
      <items count="8">
        <item x="1"/>
        <item x="0"/>
        <item x="4"/>
        <item x="5"/>
        <item x="3"/>
        <item x="6"/>
        <item x="2"/>
        <item t="default"/>
      </items>
    </pivotField>
    <pivotField compact="0" outline="0" showAll="0">
      <items count="7">
        <item x="0"/>
        <item x="2"/>
        <item x="1"/>
        <item x="3"/>
        <item x="4"/>
        <item x="5"/>
        <item t="default"/>
      </items>
    </pivotField>
    <pivotField compact="0" outline="0" showAll="0"/>
    <pivotField compact="0" outline="0" showAll="0">
      <items count="3">
        <item x="1"/>
        <item x="0"/>
        <item t="default"/>
      </items>
    </pivotField>
    <pivotField compact="0" outline="0" showAll="0"/>
    <pivotField compact="0" outline="0" showAll="0"/>
    <pivotField compact="0" outline="0" showAll="0"/>
    <pivotField compact="0" numFmtId="14" outline="0" showAll="0"/>
    <pivotField compact="0" numFmtId="164" outline="0" showAll="0"/>
    <pivotField compact="0" numFmtId="165" outline="0" showAll="0"/>
    <pivotField compact="0" numFmtId="166" outline="0" showAll="0"/>
    <pivotField compact="0" numFmtId="3" outline="0" showAll="0"/>
    <pivotField compact="0" outline="0" showAll="0"/>
    <pivotField compact="0" outline="0" showAll="0"/>
    <pivotField compact="0" outline="0" showAll="0"/>
    <pivotField compact="0" numFmtId="1" outline="0" showAll="0"/>
    <pivotField compact="0" numFmtId="1"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name="Performance Category" axis="axisRow" compact="0" outline="0" showAll="0">
      <items count="6">
        <item x="2"/>
        <item x="3"/>
        <item x="1"/>
        <item x="0"/>
        <item x="4"/>
        <item t="default"/>
      </items>
    </pivotField>
    <pivotField compact="0" numFmtId="165" outline="0" showAll="0"/>
    <pivotField compact="0" outline="0" showAll="0"/>
  </pivotFields>
  <rowFields count="1">
    <field x="27"/>
  </rowFields>
  <rowItems count="6">
    <i>
      <x/>
    </i>
    <i>
      <x v="1"/>
    </i>
    <i>
      <x v="2"/>
    </i>
    <i>
      <x v="3"/>
    </i>
    <i>
      <x v="4"/>
    </i>
    <i t="grand">
      <x/>
    </i>
  </rowItems>
  <colItems count="1">
    <i/>
  </colItems>
  <dataFields count="1">
    <dataField name="Count of Employees" fld="0" subtotal="count" baseField="27" baseItem="0" numFmtId="3"/>
  </dataFields>
  <chartFormats count="12">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27" count="1" selected="0">
            <x v="0"/>
          </reference>
        </references>
      </pivotArea>
    </chartFormat>
    <chartFormat chart="2" format="3">
      <pivotArea type="data" outline="0" fieldPosition="0">
        <references count="2">
          <reference field="4294967294" count="1" selected="0">
            <x v="0"/>
          </reference>
          <reference field="27" count="1" selected="0">
            <x v="1"/>
          </reference>
        </references>
      </pivotArea>
    </chartFormat>
    <chartFormat chart="2" format="4">
      <pivotArea type="data" outline="0" fieldPosition="0">
        <references count="2">
          <reference field="4294967294" count="1" selected="0">
            <x v="0"/>
          </reference>
          <reference field="27" count="1" selected="0">
            <x v="2"/>
          </reference>
        </references>
      </pivotArea>
    </chartFormat>
    <chartFormat chart="2" format="5">
      <pivotArea type="data" outline="0" fieldPosition="0">
        <references count="2">
          <reference field="4294967294" count="1" selected="0">
            <x v="0"/>
          </reference>
          <reference field="27" count="1" selected="0">
            <x v="3"/>
          </reference>
        </references>
      </pivotArea>
    </chartFormat>
    <chartFormat chart="2" format="6">
      <pivotArea type="data" outline="0" fieldPosition="0">
        <references count="2">
          <reference field="4294967294" count="1" selected="0">
            <x v="0"/>
          </reference>
          <reference field="27" count="1" selected="0">
            <x v="4"/>
          </reference>
        </references>
      </pivotArea>
    </chartFormat>
    <chartFormat chart="5" format="13" series="1">
      <pivotArea type="data" outline="0" fieldPosition="0">
        <references count="1">
          <reference field="4294967294" count="1" selected="0">
            <x v="0"/>
          </reference>
        </references>
      </pivotArea>
    </chartFormat>
    <chartFormat chart="5" format="14">
      <pivotArea type="data" outline="0" fieldPosition="0">
        <references count="2">
          <reference field="4294967294" count="1" selected="0">
            <x v="0"/>
          </reference>
          <reference field="27" count="1" selected="0">
            <x v="0"/>
          </reference>
        </references>
      </pivotArea>
    </chartFormat>
    <chartFormat chart="5" format="15">
      <pivotArea type="data" outline="0" fieldPosition="0">
        <references count="2">
          <reference field="4294967294" count="1" selected="0">
            <x v="0"/>
          </reference>
          <reference field="27" count="1" selected="0">
            <x v="1"/>
          </reference>
        </references>
      </pivotArea>
    </chartFormat>
    <chartFormat chart="5" format="16">
      <pivotArea type="data" outline="0" fieldPosition="0">
        <references count="2">
          <reference field="4294967294" count="1" selected="0">
            <x v="0"/>
          </reference>
          <reference field="27" count="1" selected="0">
            <x v="2"/>
          </reference>
        </references>
      </pivotArea>
    </chartFormat>
    <chartFormat chart="5" format="17">
      <pivotArea type="data" outline="0" fieldPosition="0">
        <references count="2">
          <reference field="4294967294" count="1" selected="0">
            <x v="0"/>
          </reference>
          <reference field="27" count="1" selected="0">
            <x v="3"/>
          </reference>
        </references>
      </pivotArea>
    </chartFormat>
    <chartFormat chart="5" format="18">
      <pivotArea type="data" outline="0" fieldPosition="0">
        <references count="2">
          <reference field="4294967294" count="1" selected="0">
            <x v="0"/>
          </reference>
          <reference field="2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C730A16-5931-4BCC-9235-D4C016776449}" name="PivotTable2" cacheId="0" applyNumberFormats="0" applyBorderFormats="0" applyFontFormats="0" applyPatternFormats="0" applyAlignmentFormats="0" applyWidthHeightFormats="1" dataCaption="Values" updatedVersion="7" minRefreshableVersion="3" useAutoFormatting="1" itemPrintTitles="1" createdVersion="7" indent="0" compact="0" compactData="0" multipleFieldFilters="0" chartFormat="8" rowHeaderCaption="Department" colHeaderCaption="Attrition">
  <location ref="E2:H11" firstHeaderRow="1" firstDataRow="2" firstDataCol="1"/>
  <pivotFields count="30">
    <pivotField dataField="1" compact="0" outline="0" showAll="0"/>
    <pivotField compact="0" outline="0" showAll="0"/>
    <pivotField axis="axisRow" compact="0" outline="0" showAll="0">
      <items count="8">
        <item x="1"/>
        <item x="0"/>
        <item x="4"/>
        <item x="5"/>
        <item x="3"/>
        <item x="6"/>
        <item x="2"/>
        <item t="default"/>
      </items>
    </pivotField>
    <pivotField compact="0" outline="0" showAll="0">
      <items count="7">
        <item x="0"/>
        <item x="2"/>
        <item x="1"/>
        <item x="3"/>
        <item x="4"/>
        <item x="5"/>
        <item t="default"/>
      </items>
    </pivotField>
    <pivotField compact="0" outline="0" showAll="0"/>
    <pivotField compact="0" outline="0" showAll="0">
      <items count="3">
        <item x="1"/>
        <item x="0"/>
        <item t="default"/>
      </items>
    </pivotField>
    <pivotField compact="0" outline="0" showAll="0"/>
    <pivotField compact="0" outline="0" showAll="0"/>
    <pivotField compact="0" outline="0" showAll="0"/>
    <pivotField compact="0" numFmtId="14" outline="0" showAll="0"/>
    <pivotField compact="0" numFmtId="164" outline="0" showAll="0"/>
    <pivotField compact="0" numFmtId="165" outline="0" showAll="0"/>
    <pivotField compact="0" numFmtId="166" outline="0" showAll="0"/>
    <pivotField compact="0" numFmtId="3" outline="0" showAll="0"/>
    <pivotField axis="axisCol" compact="0" outline="0" showAll="0">
      <items count="3">
        <item x="1"/>
        <item x="0"/>
        <item t="default"/>
      </items>
    </pivotField>
    <pivotField compact="0" outline="0" showAll="0"/>
    <pivotField compact="0" outline="0" showAll="0"/>
    <pivotField compact="0" numFmtId="1" outline="0" showAll="0"/>
    <pivotField compact="0" numFmtId="1"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5" outline="0" showAll="0"/>
    <pivotField compact="0" outline="0" showAll="0"/>
  </pivotFields>
  <rowFields count="1">
    <field x="2"/>
  </rowFields>
  <rowItems count="8">
    <i>
      <x/>
    </i>
    <i>
      <x v="1"/>
    </i>
    <i>
      <x v="2"/>
    </i>
    <i>
      <x v="3"/>
    </i>
    <i>
      <x v="4"/>
    </i>
    <i>
      <x v="5"/>
    </i>
    <i>
      <x v="6"/>
    </i>
    <i t="grand">
      <x/>
    </i>
  </rowItems>
  <colFields count="1">
    <field x="14"/>
  </colFields>
  <colItems count="3">
    <i>
      <x/>
    </i>
    <i>
      <x v="1"/>
    </i>
    <i t="grand">
      <x/>
    </i>
  </colItems>
  <dataFields count="1">
    <dataField name="Count Employees" fld="0" subtotal="count" baseField="0" baseItem="0" numFmtId="3"/>
  </dataFields>
  <chartFormats count="4">
    <chartFormat chart="4" format="2" series="1">
      <pivotArea type="data" outline="0" fieldPosition="0">
        <references count="2">
          <reference field="4294967294" count="1" selected="0">
            <x v="0"/>
          </reference>
          <reference field="14" count="1" selected="0">
            <x v="0"/>
          </reference>
        </references>
      </pivotArea>
    </chartFormat>
    <chartFormat chart="4" format="3" series="1">
      <pivotArea type="data" outline="0" fieldPosition="0">
        <references count="2">
          <reference field="4294967294" count="1" selected="0">
            <x v="0"/>
          </reference>
          <reference field="14" count="1" selected="0">
            <x v="1"/>
          </reference>
        </references>
      </pivotArea>
    </chartFormat>
    <chartFormat chart="7" format="6" series="1">
      <pivotArea type="data" outline="0" fieldPosition="0">
        <references count="2">
          <reference field="4294967294" count="1" selected="0">
            <x v="0"/>
          </reference>
          <reference field="14" count="1" selected="0">
            <x v="0"/>
          </reference>
        </references>
      </pivotArea>
    </chartFormat>
    <chartFormat chart="7" format="7"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89C8D07-BF00-44D8-816E-7192ED9CA94C}" name="PivotTable1" cacheId="0" applyNumberFormats="0" applyBorderFormats="0" applyFontFormats="0" applyPatternFormats="0" applyAlignmentFormats="0" applyWidthHeightFormats="1" dataCaption="Values" updatedVersion="7" minRefreshableVersion="3" useAutoFormatting="1" itemPrintTitles="1" createdVersion="7" indent="0" compact="0" compactData="0" multipleFieldFilters="0" chartFormat="13" rowHeaderCaption="Department">
  <location ref="B2:C10" firstHeaderRow="1" firstDataRow="1" firstDataCol="1"/>
  <pivotFields count="30">
    <pivotField dataField="1" compact="0" outline="0" showAll="0"/>
    <pivotField compact="0" outline="0" showAll="0"/>
    <pivotField axis="axisRow" compact="0" outline="0" showAll="0">
      <items count="8">
        <item x="1"/>
        <item x="0"/>
        <item x="4"/>
        <item x="5"/>
        <item x="3"/>
        <item x="6"/>
        <item x="2"/>
        <item t="default"/>
      </items>
    </pivotField>
    <pivotField compact="0" outline="0" showAll="0">
      <items count="7">
        <item x="0"/>
        <item x="2"/>
        <item x="1"/>
        <item x="3"/>
        <item x="4"/>
        <item x="5"/>
        <item t="default"/>
      </items>
    </pivotField>
    <pivotField compact="0" outline="0" showAll="0"/>
    <pivotField compact="0" outline="0" showAll="0">
      <items count="3">
        <item x="1"/>
        <item x="0"/>
        <item t="default"/>
      </items>
    </pivotField>
    <pivotField compact="0" outline="0" showAll="0"/>
    <pivotField compact="0" outline="0" showAll="0"/>
    <pivotField compact="0" outline="0" showAll="0"/>
    <pivotField compact="0" numFmtId="14" outline="0" showAll="0"/>
    <pivotField compact="0" numFmtId="164" outline="0" showAll="0"/>
    <pivotField compact="0" numFmtId="165" outline="0" showAll="0"/>
    <pivotField compact="0" numFmtId="166" outline="0" showAll="0"/>
    <pivotField compact="0" numFmtId="3" outline="0" showAll="0"/>
    <pivotField compact="0" outline="0" showAll="0"/>
    <pivotField compact="0" outline="0" showAll="0"/>
    <pivotField compact="0" outline="0" showAll="0"/>
    <pivotField compact="0" numFmtId="1" outline="0" showAll="0"/>
    <pivotField compact="0" numFmtId="1"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5" outline="0" showAll="0"/>
    <pivotField compact="0" outline="0" showAll="0"/>
  </pivotFields>
  <rowFields count="1">
    <field x="2"/>
  </rowFields>
  <rowItems count="8">
    <i>
      <x/>
    </i>
    <i>
      <x v="1"/>
    </i>
    <i>
      <x v="2"/>
    </i>
    <i>
      <x v="3"/>
    </i>
    <i>
      <x v="4"/>
    </i>
    <i>
      <x v="5"/>
    </i>
    <i>
      <x v="6"/>
    </i>
    <i t="grand">
      <x/>
    </i>
  </rowItems>
  <colItems count="1">
    <i/>
  </colItems>
  <dataFields count="1">
    <dataField name="Count of Employees" fld="0" subtotal="count" baseField="2" baseItem="0" numFmtId="3"/>
  </dataFields>
  <chartFormats count="2">
    <chartFormat chart="9" format="1"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CCFC14E-4BAE-46AF-98C4-467BBF3D7D91}" name="PivotTable5" cacheId="0" applyNumberFormats="0" applyBorderFormats="0" applyFontFormats="0" applyPatternFormats="0" applyAlignmentFormats="0" applyWidthHeightFormats="1" dataCaption="Values" updatedVersion="7" minRefreshableVersion="3" useAutoFormatting="1" itemPrintTitles="1" createdVersion="7" indent="0" compact="0" compactData="0" multipleFieldFilters="0" chartFormat="13">
  <location ref="R2:X8" firstHeaderRow="1" firstDataRow="2" firstDataCol="1"/>
  <pivotFields count="30">
    <pivotField dataField="1" compact="0" outline="0" showAll="0"/>
    <pivotField compact="0" outline="0" showAll="0"/>
    <pivotField compact="0" outline="0" showAll="0">
      <items count="8">
        <item x="1"/>
        <item x="0"/>
        <item x="4"/>
        <item x="5"/>
        <item x="3"/>
        <item x="6"/>
        <item x="2"/>
        <item t="default"/>
      </items>
    </pivotField>
    <pivotField compact="0" outline="0" showAll="0">
      <items count="7">
        <item x="0"/>
        <item x="2"/>
        <item x="1"/>
        <item x="3"/>
        <item x="4"/>
        <item x="5"/>
        <item t="default"/>
      </items>
    </pivotField>
    <pivotField compact="0" outline="0" showAll="0"/>
    <pivotField compact="0" outline="0" showAll="0">
      <items count="3">
        <item x="1"/>
        <item x="0"/>
        <item t="default"/>
      </items>
    </pivotField>
    <pivotField compact="0" outline="0" showAll="0"/>
    <pivotField compact="0" outline="0" showAll="0"/>
    <pivotField compact="0" outline="0" showAll="0"/>
    <pivotField compact="0" numFmtId="14" outline="0" showAll="0"/>
    <pivotField compact="0" numFmtId="164" outline="0" showAll="0"/>
    <pivotField compact="0" numFmtId="165" outline="0" showAll="0"/>
    <pivotField compact="0" numFmtId="166" outline="0" showAll="0"/>
    <pivotField compact="0" numFmtId="3" outline="0" showAll="0"/>
    <pivotField compact="0" outline="0" showAll="0"/>
    <pivotField compact="0" outline="0" showAll="0"/>
    <pivotField compact="0" outline="0" showAll="0"/>
    <pivotField compact="0" numFmtId="1" outline="0" showAll="0"/>
    <pivotField compact="0" numFmtId="1"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name="Salary Band" axis="axisCol" compact="0" outline="0" showAll="0">
      <items count="6">
        <item x="3"/>
        <item x="1"/>
        <item x="2"/>
        <item x="0"/>
        <item x="4"/>
        <item t="default"/>
      </items>
    </pivotField>
    <pivotField compact="0" outline="0" showAll="0"/>
    <pivotField compact="0" numFmtId="165" outline="0" showAll="0"/>
    <pivotField name="Experience Category" axis="axisRow" compact="0" outline="0" showAll="0">
      <items count="5">
        <item x="1"/>
        <item x="3"/>
        <item x="0"/>
        <item x="2"/>
        <item t="default"/>
      </items>
    </pivotField>
  </pivotFields>
  <rowFields count="1">
    <field x="29"/>
  </rowFields>
  <rowItems count="5">
    <i>
      <x/>
    </i>
    <i>
      <x v="1"/>
    </i>
    <i>
      <x v="2"/>
    </i>
    <i>
      <x v="3"/>
    </i>
    <i t="grand">
      <x/>
    </i>
  </rowItems>
  <colFields count="1">
    <field x="26"/>
  </colFields>
  <colItems count="6">
    <i>
      <x/>
    </i>
    <i>
      <x v="1"/>
    </i>
    <i>
      <x v="2"/>
    </i>
    <i>
      <x v="3"/>
    </i>
    <i>
      <x v="4"/>
    </i>
    <i t="grand">
      <x/>
    </i>
  </colItems>
  <dataFields count="1">
    <dataField name="Count of Employees" fld="0" subtotal="count" baseField="0" baseItem="0" numFmtId="3"/>
  </dataFields>
  <chartFormats count="15">
    <chartFormat chart="6" format="5" series="1">
      <pivotArea type="data" outline="0" fieldPosition="0">
        <references count="2">
          <reference field="4294967294" count="1" selected="0">
            <x v="0"/>
          </reference>
          <reference field="26" count="1" selected="0">
            <x v="0"/>
          </reference>
        </references>
      </pivotArea>
    </chartFormat>
    <chartFormat chart="6" format="6" series="1">
      <pivotArea type="data" outline="0" fieldPosition="0">
        <references count="2">
          <reference field="4294967294" count="1" selected="0">
            <x v="0"/>
          </reference>
          <reference field="26" count="1" selected="0">
            <x v="1"/>
          </reference>
        </references>
      </pivotArea>
    </chartFormat>
    <chartFormat chart="6" format="7" series="1">
      <pivotArea type="data" outline="0" fieldPosition="0">
        <references count="2">
          <reference field="4294967294" count="1" selected="0">
            <x v="0"/>
          </reference>
          <reference field="26" count="1" selected="0">
            <x v="2"/>
          </reference>
        </references>
      </pivotArea>
    </chartFormat>
    <chartFormat chart="6" format="8" series="1">
      <pivotArea type="data" outline="0" fieldPosition="0">
        <references count="2">
          <reference field="4294967294" count="1" selected="0">
            <x v="0"/>
          </reference>
          <reference field="26" count="1" selected="0">
            <x v="3"/>
          </reference>
        </references>
      </pivotArea>
    </chartFormat>
    <chartFormat chart="6" format="9" series="1">
      <pivotArea type="data" outline="0" fieldPosition="0">
        <references count="2">
          <reference field="4294967294" count="1" selected="0">
            <x v="0"/>
          </reference>
          <reference field="26" count="1" selected="0">
            <x v="4"/>
          </reference>
        </references>
      </pivotArea>
    </chartFormat>
    <chartFormat chart="9" format="15" series="1">
      <pivotArea type="data" outline="0" fieldPosition="0">
        <references count="2">
          <reference field="4294967294" count="1" selected="0">
            <x v="0"/>
          </reference>
          <reference field="26" count="1" selected="0">
            <x v="0"/>
          </reference>
        </references>
      </pivotArea>
    </chartFormat>
    <chartFormat chart="9" format="16" series="1">
      <pivotArea type="data" outline="0" fieldPosition="0">
        <references count="2">
          <reference field="4294967294" count="1" selected="0">
            <x v="0"/>
          </reference>
          <reference field="26" count="1" selected="0">
            <x v="1"/>
          </reference>
        </references>
      </pivotArea>
    </chartFormat>
    <chartFormat chart="9" format="17" series="1">
      <pivotArea type="data" outline="0" fieldPosition="0">
        <references count="2">
          <reference field="4294967294" count="1" selected="0">
            <x v="0"/>
          </reference>
          <reference field="26" count="1" selected="0">
            <x v="2"/>
          </reference>
        </references>
      </pivotArea>
    </chartFormat>
    <chartFormat chart="9" format="18" series="1">
      <pivotArea type="data" outline="0" fieldPosition="0">
        <references count="2">
          <reference field="4294967294" count="1" selected="0">
            <x v="0"/>
          </reference>
          <reference field="26" count="1" selected="0">
            <x v="3"/>
          </reference>
        </references>
      </pivotArea>
    </chartFormat>
    <chartFormat chart="9" format="19" series="1">
      <pivotArea type="data" outline="0" fieldPosition="0">
        <references count="2">
          <reference field="4294967294" count="1" selected="0">
            <x v="0"/>
          </reference>
          <reference field="26" count="1" selected="0">
            <x v="4"/>
          </reference>
        </references>
      </pivotArea>
    </chartFormat>
    <chartFormat chart="10" format="15" series="1">
      <pivotArea type="data" outline="0" fieldPosition="0">
        <references count="2">
          <reference field="4294967294" count="1" selected="0">
            <x v="0"/>
          </reference>
          <reference field="26" count="1" selected="0">
            <x v="0"/>
          </reference>
        </references>
      </pivotArea>
    </chartFormat>
    <chartFormat chart="10" format="16" series="1">
      <pivotArea type="data" outline="0" fieldPosition="0">
        <references count="2">
          <reference field="4294967294" count="1" selected="0">
            <x v="0"/>
          </reference>
          <reference field="26" count="1" selected="0">
            <x v="1"/>
          </reference>
        </references>
      </pivotArea>
    </chartFormat>
    <chartFormat chart="10" format="17" series="1">
      <pivotArea type="data" outline="0" fieldPosition="0">
        <references count="2">
          <reference field="4294967294" count="1" selected="0">
            <x v="0"/>
          </reference>
          <reference field="26" count="1" selected="0">
            <x v="2"/>
          </reference>
        </references>
      </pivotArea>
    </chartFormat>
    <chartFormat chart="10" format="18" series="1">
      <pivotArea type="data" outline="0" fieldPosition="0">
        <references count="2">
          <reference field="4294967294" count="1" selected="0">
            <x v="0"/>
          </reference>
          <reference field="26" count="1" selected="0">
            <x v="3"/>
          </reference>
        </references>
      </pivotArea>
    </chartFormat>
    <chartFormat chart="10" format="19" series="1">
      <pivotArea type="data" outline="0" fieldPosition="0">
        <references count="2">
          <reference field="4294967294" count="1" selected="0">
            <x v="0"/>
          </reference>
          <reference field="2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001429CF-3789-4A17-8AE4-4AD1AB2F9754}" sourceName="Location">
  <pivotTables>
    <pivotTable tabId="6" name="PivotTable1"/>
    <pivotTable tabId="6" name="PivotTable2"/>
    <pivotTable tabId="6" name="PivotTable3"/>
    <pivotTable tabId="6" name="PivotTable4"/>
    <pivotTable tabId="6" name="PivotTable5"/>
  </pivotTables>
  <data>
    <tabular pivotCacheId="1415275420">
      <items count="6">
        <i x="0" s="1"/>
        <i x="2" s="1"/>
        <i x="1" s="1"/>
        <i x="3" s="1"/>
        <i x="4"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DA89552-D508-4F5D-9DFB-A9F74E2F12AE}" sourceName="Gender">
  <pivotTables>
    <pivotTable tabId="6" name="PivotTable1"/>
    <pivotTable tabId="6" name="PivotTable2"/>
    <pivotTable tabId="6" name="PivotTable3"/>
    <pivotTable tabId="6" name="PivotTable4"/>
    <pivotTable tabId="6" name="PivotTable5"/>
  </pivotTables>
  <data>
    <tabular pivotCacheId="1415275420">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5A76BCD3-A751-4B68-9085-6A763B1364FC}" sourceName="Department">
  <pivotTables>
    <pivotTable tabId="6" name="PivotTable1"/>
    <pivotTable tabId="6" name="PivotTable2"/>
    <pivotTable tabId="6" name="PivotTable3"/>
    <pivotTable tabId="6" name="PivotTable4"/>
    <pivotTable tabId="6" name="PivotTable5"/>
  </pivotTables>
  <data>
    <tabular pivotCacheId="1415275420">
      <items count="7">
        <i x="1" s="1"/>
        <i x="0" s="1"/>
        <i x="4" s="1"/>
        <i x="5" s="1"/>
        <i x="3" s="1"/>
        <i x="6"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1" xr10:uid="{8FDB4C69-23AA-461D-A456-166B4DC025B3}" cache="Slicer_Location" caption="Location" rowHeight="234950"/>
  <slicer name="Gender" xr10:uid="{F810E90A-2436-44E6-AA52-DBD1F99FC01C}" cache="Slicer_Gender" caption="Gender" columnCount="2" rowHeight="234950"/>
  <slicer name="Department" xr10:uid="{9E7D3E2F-85E6-420C-90A4-2B9490D9104C}" cache="Slicer_Department" caption="Departmen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D9495F1-A5C0-46B0-82AF-8E19CBA67C94}" name="Dataset" displayName="Dataset" ref="A1:AD323" totalsRowShown="0" headerRowDxfId="22" headerRowBorderDxfId="21">
  <autoFilter ref="A1:AD323" xr:uid="{ED9495F1-A5C0-46B0-82AF-8E19CBA67C9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autoFilter>
  <tableColumns count="30">
    <tableColumn id="1" xr3:uid="{A45F2475-DC95-40EA-89F8-7051F8FF95C3}" name="Employee_ID" dataDxfId="20"/>
    <tableColumn id="2" xr3:uid="{B5B0C0D6-8AFB-47AD-BBA7-3B8C15B4F278}" name="Employee_Name" dataDxfId="19"/>
    <tableColumn id="3" xr3:uid="{D1232379-3FF3-4AF9-A1F9-9DAAF4B844B6}" name="Department" dataDxfId="18"/>
    <tableColumn id="4" xr3:uid="{42778882-5976-466F-BD6D-6482AEC019AC}" name="Location" dataDxfId="17"/>
    <tableColumn id="5" xr3:uid="{8BA9A804-3618-4BF8-B7CB-28C2A2496235}" name="Job_Title" dataDxfId="16"/>
    <tableColumn id="6" xr3:uid="{5429440D-8010-4FAE-A997-DC439AC0A5F8}" name="Gender" dataDxfId="15"/>
    <tableColumn id="7" xr3:uid="{F71724DE-9D66-4E18-83C9-2F1BDD0AA06F}" name="Age" dataDxfId="14"/>
    <tableColumn id="8" xr3:uid="{0C1D7309-C817-4263-90BB-382D5F04DD88}" name="Education" dataDxfId="13"/>
    <tableColumn id="9" xr3:uid="{9EDA6165-329E-49E2-996E-52981CB8CD16}" name="Employment_Status" dataDxfId="12"/>
    <tableColumn id="10" xr3:uid="{4FFE2677-8784-4C8C-9963-022A87ACED86}" name="Joining_Date" dataDxfId="11"/>
    <tableColumn id="11" xr3:uid="{2E09601B-A84D-4833-B336-EB70E33343A7}" name="Experience_Years" dataDxfId="10"/>
    <tableColumn id="12" xr3:uid="{E8BC63C5-E3DD-4BC7-B202-1A3C1EB47763}" name="Annual_Salary" dataDxfId="9"/>
    <tableColumn id="13" xr3:uid="{3BDC2AE3-C5F9-407A-916B-22E42AED9D0C}" name="Bonus_Percent" dataDxfId="8"/>
    <tableColumn id="14" xr3:uid="{A73EDBD7-EC81-459D-A0E1-B631AD4FE81D}" name="Performance_Rating" dataDxfId="7"/>
    <tableColumn id="15" xr3:uid="{77D366E5-9172-473F-AC84-ACFDC65560FC}" name="Attrition" dataDxfId="6"/>
    <tableColumn id="16" xr3:uid="{A7DF2B2C-F1E0-4F29-93FD-31240D101DD9}" name="Phone" dataDxfId="5"/>
    <tableColumn id="17" xr3:uid="{4013ED54-557A-4BBE-BAAA-CA2F1B7C5F15}" name="Email" dataDxfId="4"/>
    <tableColumn id="18" xr3:uid="{8B760EF5-BE62-4CB0-82FB-BFAF49C578D6}" name="Overtime_Hours" dataDxfId="3"/>
    <tableColumn id="19" xr3:uid="{B897DA65-A3E9-45B4-B627-75943FEED0DA}" name="Training_Hours" dataDxfId="2"/>
    <tableColumn id="20" xr3:uid="{B4FB11CE-A7C6-40B7-BD8D-906CF3978184}" name="Manager_ID" dataDxfId="1"/>
    <tableColumn id="21" xr3:uid="{3E526D55-5BFC-4A53-8654-C1724ED63C86}" name="Email_Valid">
      <calculatedColumnFormula>IF(AND(ISNUMBER(FIND("@",Q2)),ISNUMBER(FIND(".",Q2))),
"Valid","Invalid")</calculatedColumnFormula>
    </tableColumn>
    <tableColumn id="22" xr3:uid="{C1E9653A-10A5-4A26-9D88-45616068126B}" name="Joining_Month_Num">
      <calculatedColumnFormula>MONTH(J2)</calculatedColumnFormula>
    </tableColumn>
    <tableColumn id="23" xr3:uid="{4DF560E4-87C9-41F2-8E2A-E5AABE020050}" name="Joining_Month_Name">
      <calculatedColumnFormula>TEXT(J2, "MMM")</calculatedColumnFormula>
    </tableColumn>
    <tableColumn id="24" xr3:uid="{65B99FCE-C763-4A6A-819C-D26440283FFC}" name="Joining_Year">
      <calculatedColumnFormula>YEAR(J2)</calculatedColumnFormula>
    </tableColumn>
    <tableColumn id="25" xr3:uid="{B8C9682E-AEC5-4FA3-A249-094DA4BF515E}" name="Tenure_Years">
      <calculatedColumnFormula>DATEDIF(J2,TODAY(), "Y")</calculatedColumnFormula>
    </tableColumn>
    <tableColumn id="26" xr3:uid="{DB7AA235-4F24-4FE4-9847-D5456AB7C42B}" name="Age_Group">
      <calculatedColumnFormula array="1">_xlfn.IFS(G2&lt;30,"20-29",G2&lt;40,"30-39",G2&lt;50,"40-49",G2&gt;=50,"50+")</calculatedColumnFormula>
    </tableColumn>
    <tableColumn id="27" xr3:uid="{FBF973F6-B4CA-4D77-90B3-59777AD724C6}" name="Salary_Band">
      <calculatedColumnFormula array="1">_xlfn.IFS(L2&lt;500000,"Band 1: &lt;5L", L2&lt;1000000,"Band 2: 5-10L", L2&lt;1500000,"Band 3: 10-15L", L2&lt;2000000,"Band 4: 15-20L", L2&gt;=2000000,"Band 5: 20L+")</calculatedColumnFormula>
    </tableColumn>
    <tableColumn id="28" xr3:uid="{BB0062B1-C64C-4D4C-9497-C681C992B6DD}" name="Performance_Category">
      <calculatedColumnFormula array="1">_xlfn.IFS(N2=1,"Poor", N2=2,"Below Average", N2=3,"Average", N2=4,"Good", N2=5,"Excellent")</calculatedColumnFormula>
    </tableColumn>
    <tableColumn id="29" xr3:uid="{6041B70C-2527-4718-9EC4-B341424BE8AF}" name="Bonus_Amount" dataDxfId="0">
      <calculatedColumnFormula>L2*M2</calculatedColumnFormula>
    </tableColumn>
    <tableColumn id="30" xr3:uid="{A7AFCA1F-A1ED-4646-90FB-E831DFBC4DC1}" name="Experience_Category">
      <calculatedColumnFormula array="1">_xlfn.IFS(K2&lt;2,"Junior (0-2 yrs)", K2&lt;5,"Mid-Level (2-5 yrs)", K2&lt;10,"Senior (5-10 yrs)", K2&gt;=10,"Expert (10+ yrs)")</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T506"/>
  <sheetViews>
    <sheetView workbookViewId="0">
      <selection activeCell="W3" sqref="W3"/>
    </sheetView>
  </sheetViews>
  <sheetFormatPr defaultRowHeight="14.4" x14ac:dyDescent="0.3"/>
  <cols>
    <col min="1" max="1" width="14.109375" bestFit="1" customWidth="1"/>
    <col min="2" max="2" width="18.77734375" bestFit="1" customWidth="1"/>
    <col min="3" max="3" width="20.21875" bestFit="1" customWidth="1"/>
    <col min="4" max="4" width="9.88671875" bestFit="1" customWidth="1"/>
    <col min="5" max="5" width="15.44140625" bestFit="1" customWidth="1"/>
    <col min="6" max="6" width="8.21875" bestFit="1" customWidth="1"/>
    <col min="7" max="7" width="4.88671875" bestFit="1" customWidth="1"/>
    <col min="8" max="8" width="10.6640625" bestFit="1" customWidth="1"/>
    <col min="9" max="9" width="20.88671875" bestFit="1" customWidth="1"/>
    <col min="10" max="10" width="13.77734375" bestFit="1" customWidth="1"/>
    <col min="11" max="11" width="19.109375" bestFit="1" customWidth="1"/>
    <col min="12" max="12" width="15.109375" bestFit="1" customWidth="1"/>
    <col min="13" max="13" width="16" bestFit="1" customWidth="1"/>
    <col min="14" max="14" width="21.109375" bestFit="1" customWidth="1"/>
    <col min="15" max="15" width="8.77734375" bestFit="1" customWidth="1"/>
    <col min="16" max="16" width="14.88671875" bestFit="1" customWidth="1"/>
    <col min="17" max="17" width="31.109375" bestFit="1" customWidth="1"/>
    <col min="18" max="18" width="17.21875" bestFit="1" customWidth="1"/>
    <col min="19" max="19" width="15.88671875" bestFit="1" customWidth="1"/>
    <col min="20" max="20" width="12.44140625" bestFit="1" customWidth="1"/>
  </cols>
  <sheetData>
    <row r="1" spans="1:20"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row>
    <row r="2" spans="1:20" x14ac:dyDescent="0.3">
      <c r="A2" s="1" t="s">
        <v>20</v>
      </c>
      <c r="B2" s="1" t="s">
        <v>21</v>
      </c>
      <c r="C2" s="1" t="s">
        <v>22</v>
      </c>
      <c r="D2" s="1" t="s">
        <v>23</v>
      </c>
      <c r="E2" s="1" t="s">
        <v>24</v>
      </c>
      <c r="F2" s="1" t="s">
        <v>25</v>
      </c>
      <c r="G2" s="1">
        <v>24</v>
      </c>
      <c r="H2" s="1" t="s">
        <v>26</v>
      </c>
      <c r="I2" s="1" t="s">
        <v>27</v>
      </c>
      <c r="J2" s="1" t="s">
        <v>28</v>
      </c>
      <c r="K2" s="1">
        <v>2.4</v>
      </c>
      <c r="L2" s="1">
        <v>1939110</v>
      </c>
      <c r="M2" s="1">
        <v>17.68</v>
      </c>
      <c r="N2" s="1">
        <v>4</v>
      </c>
      <c r="O2" s="1" t="s">
        <v>29</v>
      </c>
      <c r="P2" s="1" t="s">
        <v>30</v>
      </c>
      <c r="Q2" s="1" t="s">
        <v>31</v>
      </c>
      <c r="R2" s="1">
        <v>72</v>
      </c>
      <c r="S2" s="1">
        <v>23</v>
      </c>
      <c r="T2" s="1" t="s">
        <v>32</v>
      </c>
    </row>
    <row r="3" spans="1:20" x14ac:dyDescent="0.3">
      <c r="A3" s="1" t="s">
        <v>33</v>
      </c>
      <c r="B3" s="1" t="s">
        <v>34</v>
      </c>
      <c r="C3" s="1" t="s">
        <v>35</v>
      </c>
      <c r="D3" s="1" t="s">
        <v>23</v>
      </c>
      <c r="E3" s="1" t="s">
        <v>36</v>
      </c>
      <c r="F3" s="1" t="s">
        <v>37</v>
      </c>
      <c r="G3" s="1">
        <v>52</v>
      </c>
      <c r="H3" s="1" t="s">
        <v>38</v>
      </c>
      <c r="I3" s="1" t="s">
        <v>39</v>
      </c>
      <c r="J3" s="1" t="s">
        <v>40</v>
      </c>
      <c r="K3" s="1">
        <v>1.5</v>
      </c>
      <c r="L3" s="1">
        <v>478328</v>
      </c>
      <c r="M3" s="1">
        <v>22.53</v>
      </c>
      <c r="N3" s="1">
        <v>5</v>
      </c>
      <c r="O3" s="1" t="s">
        <v>41</v>
      </c>
      <c r="P3" s="1"/>
      <c r="Q3" s="1" t="s">
        <v>42</v>
      </c>
      <c r="R3" s="1"/>
      <c r="S3" s="1">
        <v>18</v>
      </c>
      <c r="T3" s="1" t="s">
        <v>43</v>
      </c>
    </row>
    <row r="4" spans="1:20" x14ac:dyDescent="0.3">
      <c r="A4" s="1" t="s">
        <v>44</v>
      </c>
      <c r="B4" s="1" t="s">
        <v>45</v>
      </c>
      <c r="C4" s="1" t="s">
        <v>46</v>
      </c>
      <c r="D4" s="1" t="s">
        <v>47</v>
      </c>
      <c r="E4" s="1" t="s">
        <v>48</v>
      </c>
      <c r="F4" s="1" t="s">
        <v>49</v>
      </c>
      <c r="G4" s="1">
        <v>22</v>
      </c>
      <c r="H4" s="1" t="s">
        <v>50</v>
      </c>
      <c r="I4" s="1" t="s">
        <v>51</v>
      </c>
      <c r="J4" s="1" t="s">
        <v>52</v>
      </c>
      <c r="K4" s="1">
        <v>15.5</v>
      </c>
      <c r="L4" s="1">
        <v>906497</v>
      </c>
      <c r="M4" s="1">
        <v>17.3</v>
      </c>
      <c r="N4" s="1">
        <v>4</v>
      </c>
      <c r="O4" s="1" t="s">
        <v>41</v>
      </c>
      <c r="P4" s="1" t="s">
        <v>53</v>
      </c>
      <c r="Q4" s="1" t="s">
        <v>54</v>
      </c>
      <c r="R4" s="1">
        <v>42</v>
      </c>
      <c r="S4" s="1">
        <v>72</v>
      </c>
      <c r="T4" s="1" t="s">
        <v>55</v>
      </c>
    </row>
    <row r="5" spans="1:20" x14ac:dyDescent="0.3">
      <c r="A5" s="1" t="s">
        <v>56</v>
      </c>
      <c r="B5" s="1" t="s">
        <v>57</v>
      </c>
      <c r="C5" s="1" t="s">
        <v>58</v>
      </c>
      <c r="D5" s="1" t="s">
        <v>59</v>
      </c>
      <c r="E5" s="1" t="s">
        <v>60</v>
      </c>
      <c r="F5" s="1" t="s">
        <v>61</v>
      </c>
      <c r="G5" s="1">
        <v>39</v>
      </c>
      <c r="H5" s="1" t="s">
        <v>62</v>
      </c>
      <c r="I5" s="1" t="s">
        <v>51</v>
      </c>
      <c r="J5" s="1" t="s">
        <v>63</v>
      </c>
      <c r="K5" s="1">
        <v>2.7</v>
      </c>
      <c r="L5" s="1">
        <v>2451024</v>
      </c>
      <c r="M5" s="1">
        <v>6.15</v>
      </c>
      <c r="N5" s="1">
        <v>4</v>
      </c>
      <c r="O5" s="1" t="s">
        <v>64</v>
      </c>
      <c r="P5" s="1" t="s">
        <v>65</v>
      </c>
      <c r="Q5" s="1"/>
      <c r="R5" s="1">
        <v>28</v>
      </c>
      <c r="S5" s="1">
        <v>33</v>
      </c>
      <c r="T5" s="1" t="s">
        <v>66</v>
      </c>
    </row>
    <row r="6" spans="1:20" x14ac:dyDescent="0.3">
      <c r="A6" s="1" t="s">
        <v>67</v>
      </c>
      <c r="B6" s="1" t="s">
        <v>68</v>
      </c>
      <c r="C6" s="1" t="s">
        <v>69</v>
      </c>
      <c r="D6" s="1" t="s">
        <v>70</v>
      </c>
      <c r="E6" s="1" t="s">
        <v>71</v>
      </c>
      <c r="F6" s="1" t="s">
        <v>72</v>
      </c>
      <c r="G6" s="1">
        <v>29</v>
      </c>
      <c r="H6" s="1" t="s">
        <v>73</v>
      </c>
      <c r="I6" s="1" t="s">
        <v>74</v>
      </c>
      <c r="J6" s="1" t="s">
        <v>75</v>
      </c>
      <c r="K6" s="1">
        <v>6.8</v>
      </c>
      <c r="L6" s="1">
        <v>652601</v>
      </c>
      <c r="M6" s="1">
        <v>4.74</v>
      </c>
      <c r="N6" s="1">
        <v>5</v>
      </c>
      <c r="O6" s="1" t="s">
        <v>76</v>
      </c>
      <c r="P6" s="1" t="s">
        <v>77</v>
      </c>
      <c r="Q6" s="1" t="s">
        <v>78</v>
      </c>
      <c r="R6" s="1">
        <v>35</v>
      </c>
      <c r="S6" s="1">
        <v>63</v>
      </c>
      <c r="T6" s="1" t="s">
        <v>79</v>
      </c>
    </row>
    <row r="7" spans="1:20" x14ac:dyDescent="0.3">
      <c r="A7" s="1" t="s">
        <v>80</v>
      </c>
      <c r="B7" s="1" t="s">
        <v>81</v>
      </c>
      <c r="C7" s="1" t="s">
        <v>82</v>
      </c>
      <c r="D7" s="1" t="s">
        <v>83</v>
      </c>
      <c r="E7" s="1" t="s">
        <v>36</v>
      </c>
      <c r="F7" s="1" t="s">
        <v>37</v>
      </c>
      <c r="G7" s="1">
        <v>30</v>
      </c>
      <c r="H7" s="1" t="s">
        <v>84</v>
      </c>
      <c r="I7" s="1" t="s">
        <v>85</v>
      </c>
      <c r="J7" s="1" t="s">
        <v>86</v>
      </c>
      <c r="K7" s="1">
        <v>24.3</v>
      </c>
      <c r="L7" s="1">
        <v>972149</v>
      </c>
      <c r="M7" s="1">
        <v>23.73</v>
      </c>
      <c r="N7" s="1">
        <v>3</v>
      </c>
      <c r="O7" s="1" t="s">
        <v>41</v>
      </c>
      <c r="P7" s="1" t="s">
        <v>87</v>
      </c>
      <c r="Q7" s="1" t="s">
        <v>88</v>
      </c>
      <c r="R7" s="1">
        <v>51</v>
      </c>
      <c r="S7" s="1">
        <v>94</v>
      </c>
      <c r="T7" s="1" t="s">
        <v>89</v>
      </c>
    </row>
    <row r="8" spans="1:20" x14ac:dyDescent="0.3">
      <c r="A8" s="1" t="s">
        <v>90</v>
      </c>
      <c r="B8" s="1" t="s">
        <v>91</v>
      </c>
      <c r="C8" s="1" t="s">
        <v>69</v>
      </c>
      <c r="D8" s="1" t="s">
        <v>83</v>
      </c>
      <c r="E8" s="1" t="s">
        <v>92</v>
      </c>
      <c r="F8" s="1" t="s">
        <v>93</v>
      </c>
      <c r="G8" s="1">
        <v>56</v>
      </c>
      <c r="H8" s="1" t="s">
        <v>62</v>
      </c>
      <c r="I8" s="1" t="s">
        <v>74</v>
      </c>
      <c r="J8" s="1" t="s">
        <v>94</v>
      </c>
      <c r="K8" s="1">
        <v>15.9</v>
      </c>
      <c r="L8" s="1">
        <v>2357066</v>
      </c>
      <c r="M8" s="1">
        <v>15.05</v>
      </c>
      <c r="N8" s="1">
        <v>2</v>
      </c>
      <c r="O8" s="1" t="s">
        <v>76</v>
      </c>
      <c r="P8" s="1" t="s">
        <v>95</v>
      </c>
      <c r="Q8" s="1" t="s">
        <v>96</v>
      </c>
      <c r="R8" s="1">
        <v>45</v>
      </c>
      <c r="S8" s="1">
        <v>93</v>
      </c>
      <c r="T8" s="1" t="s">
        <v>97</v>
      </c>
    </row>
    <row r="9" spans="1:20" x14ac:dyDescent="0.3">
      <c r="A9" s="1" t="s">
        <v>98</v>
      </c>
      <c r="B9" s="1" t="s">
        <v>99</v>
      </c>
      <c r="C9" s="1" t="s">
        <v>100</v>
      </c>
      <c r="D9" s="1" t="s">
        <v>101</v>
      </c>
      <c r="E9" s="1" t="s">
        <v>102</v>
      </c>
      <c r="F9" s="1" t="s">
        <v>25</v>
      </c>
      <c r="G9" s="1">
        <v>50</v>
      </c>
      <c r="H9" s="1" t="s">
        <v>103</v>
      </c>
      <c r="I9" s="1" t="s">
        <v>85</v>
      </c>
      <c r="J9" s="1" t="s">
        <v>104</v>
      </c>
      <c r="K9" s="1">
        <v>29.1</v>
      </c>
      <c r="L9" s="1">
        <v>2398965</v>
      </c>
      <c r="M9" s="1"/>
      <c r="N9" s="1">
        <v>4</v>
      </c>
      <c r="O9" s="1" t="s">
        <v>76</v>
      </c>
      <c r="P9" s="1" t="s">
        <v>105</v>
      </c>
      <c r="Q9" s="1" t="s">
        <v>106</v>
      </c>
      <c r="R9" s="1">
        <v>61</v>
      </c>
      <c r="S9" s="1">
        <v>32</v>
      </c>
      <c r="T9" s="1" t="s">
        <v>107</v>
      </c>
    </row>
    <row r="10" spans="1:20" x14ac:dyDescent="0.3">
      <c r="A10" s="1" t="s">
        <v>108</v>
      </c>
      <c r="B10" s="1" t="s">
        <v>109</v>
      </c>
      <c r="C10" s="1" t="s">
        <v>110</v>
      </c>
      <c r="D10" s="1" t="s">
        <v>111</v>
      </c>
      <c r="E10" s="1" t="s">
        <v>24</v>
      </c>
      <c r="F10" s="1" t="s">
        <v>61</v>
      </c>
      <c r="G10" s="1">
        <v>25</v>
      </c>
      <c r="H10" s="1" t="s">
        <v>62</v>
      </c>
      <c r="I10" s="1" t="s">
        <v>74</v>
      </c>
      <c r="J10" s="1" t="s">
        <v>112</v>
      </c>
      <c r="K10" s="1">
        <v>17.600000000000001</v>
      </c>
      <c r="L10" s="1">
        <v>1323161</v>
      </c>
      <c r="M10" s="1">
        <v>14.73</v>
      </c>
      <c r="N10" s="1">
        <v>2</v>
      </c>
      <c r="O10" s="1" t="s">
        <v>41</v>
      </c>
      <c r="P10" s="1" t="s">
        <v>113</v>
      </c>
      <c r="Q10" s="1" t="s">
        <v>114</v>
      </c>
      <c r="R10" s="1">
        <v>38</v>
      </c>
      <c r="S10" s="1">
        <v>74</v>
      </c>
      <c r="T10" s="1" t="s">
        <v>115</v>
      </c>
    </row>
    <row r="11" spans="1:20" x14ac:dyDescent="0.3">
      <c r="A11" s="1" t="s">
        <v>116</v>
      </c>
      <c r="B11" s="1" t="s">
        <v>117</v>
      </c>
      <c r="C11" s="1" t="s">
        <v>35</v>
      </c>
      <c r="D11" s="1" t="s">
        <v>70</v>
      </c>
      <c r="E11" s="1" t="s">
        <v>48</v>
      </c>
      <c r="F11" s="1" t="s">
        <v>61</v>
      </c>
      <c r="G11" s="1">
        <v>45</v>
      </c>
      <c r="H11" s="1" t="s">
        <v>84</v>
      </c>
      <c r="I11" s="1" t="s">
        <v>118</v>
      </c>
      <c r="J11" s="1" t="s">
        <v>119</v>
      </c>
      <c r="K11" s="1">
        <v>17.3</v>
      </c>
      <c r="L11" s="1">
        <v>1327796</v>
      </c>
      <c r="M11" s="1"/>
      <c r="N11" s="1">
        <v>4</v>
      </c>
      <c r="O11" s="1" t="s">
        <v>41</v>
      </c>
      <c r="P11" s="1" t="s">
        <v>120</v>
      </c>
      <c r="Q11" s="1" t="s">
        <v>121</v>
      </c>
      <c r="R11" s="1">
        <v>14</v>
      </c>
      <c r="S11" s="1">
        <v>112</v>
      </c>
      <c r="T11" s="1"/>
    </row>
    <row r="12" spans="1:20" x14ac:dyDescent="0.3">
      <c r="A12" s="1" t="s">
        <v>122</v>
      </c>
      <c r="B12" s="1" t="s">
        <v>123</v>
      </c>
      <c r="C12" s="1" t="s">
        <v>124</v>
      </c>
      <c r="D12" s="1" t="s">
        <v>111</v>
      </c>
      <c r="E12" s="1" t="s">
        <v>60</v>
      </c>
      <c r="F12" s="1" t="s">
        <v>93</v>
      </c>
      <c r="G12" s="1">
        <v>25</v>
      </c>
      <c r="H12" s="1" t="s">
        <v>50</v>
      </c>
      <c r="I12" s="1" t="s">
        <v>125</v>
      </c>
      <c r="J12" s="1" t="s">
        <v>126</v>
      </c>
      <c r="K12" s="1">
        <v>14.5</v>
      </c>
      <c r="L12" s="1">
        <v>1972456</v>
      </c>
      <c r="M12" s="1">
        <v>19.93</v>
      </c>
      <c r="N12" s="1">
        <v>3</v>
      </c>
      <c r="O12" s="1" t="s">
        <v>41</v>
      </c>
      <c r="P12" s="1" t="s">
        <v>127</v>
      </c>
      <c r="Q12" s="1" t="s">
        <v>128</v>
      </c>
      <c r="R12" s="1">
        <v>40</v>
      </c>
      <c r="S12" s="1">
        <v>87</v>
      </c>
      <c r="T12" s="1" t="s">
        <v>129</v>
      </c>
    </row>
    <row r="13" spans="1:20" x14ac:dyDescent="0.3">
      <c r="A13" s="1" t="s">
        <v>130</v>
      </c>
      <c r="B13" s="1" t="s">
        <v>131</v>
      </c>
      <c r="C13" s="1" t="s">
        <v>132</v>
      </c>
      <c r="D13" s="1" t="s">
        <v>47</v>
      </c>
      <c r="E13" s="1" t="s">
        <v>48</v>
      </c>
      <c r="F13" s="1" t="s">
        <v>133</v>
      </c>
      <c r="G13" s="1">
        <v>49</v>
      </c>
      <c r="H13" s="1" t="s">
        <v>84</v>
      </c>
      <c r="I13" s="1" t="s">
        <v>51</v>
      </c>
      <c r="J13" s="1" t="s">
        <v>134</v>
      </c>
      <c r="K13" s="1">
        <v>16.8</v>
      </c>
      <c r="L13" s="1">
        <v>539572</v>
      </c>
      <c r="M13" s="1">
        <v>9.5299999999999994</v>
      </c>
      <c r="N13" s="1">
        <v>4</v>
      </c>
      <c r="O13" s="1" t="s">
        <v>135</v>
      </c>
      <c r="P13" s="1" t="s">
        <v>136</v>
      </c>
      <c r="Q13" s="1" t="s">
        <v>137</v>
      </c>
      <c r="R13" s="1">
        <v>30</v>
      </c>
      <c r="S13" s="1">
        <v>1</v>
      </c>
      <c r="T13" s="1" t="s">
        <v>138</v>
      </c>
    </row>
    <row r="14" spans="1:20" x14ac:dyDescent="0.3">
      <c r="A14" s="1" t="s">
        <v>139</v>
      </c>
      <c r="B14" s="1" t="s">
        <v>140</v>
      </c>
      <c r="C14" s="1" t="s">
        <v>69</v>
      </c>
      <c r="D14" s="1" t="s">
        <v>141</v>
      </c>
      <c r="E14" s="1" t="s">
        <v>48</v>
      </c>
      <c r="F14" s="1" t="s">
        <v>133</v>
      </c>
      <c r="G14" s="1">
        <v>27</v>
      </c>
      <c r="H14" s="1" t="s">
        <v>142</v>
      </c>
      <c r="I14" s="1" t="s">
        <v>27</v>
      </c>
      <c r="J14" s="1" t="s">
        <v>143</v>
      </c>
      <c r="K14" s="1">
        <v>26.6</v>
      </c>
      <c r="L14" s="1">
        <v>395292</v>
      </c>
      <c r="M14" s="1">
        <v>8.07</v>
      </c>
      <c r="N14" s="1">
        <v>3</v>
      </c>
      <c r="O14" s="1" t="s">
        <v>41</v>
      </c>
      <c r="P14" s="1" t="s">
        <v>144</v>
      </c>
      <c r="Q14" s="1" t="s">
        <v>145</v>
      </c>
      <c r="R14" s="1">
        <v>3</v>
      </c>
      <c r="S14" s="1">
        <v>59</v>
      </c>
      <c r="T14" s="1" t="s">
        <v>146</v>
      </c>
    </row>
    <row r="15" spans="1:20" x14ac:dyDescent="0.3">
      <c r="A15" s="1" t="s">
        <v>147</v>
      </c>
      <c r="B15" s="1" t="s">
        <v>148</v>
      </c>
      <c r="C15" s="1" t="s">
        <v>132</v>
      </c>
      <c r="D15" s="1" t="s">
        <v>141</v>
      </c>
      <c r="E15" s="1" t="s">
        <v>102</v>
      </c>
      <c r="F15" s="1" t="s">
        <v>37</v>
      </c>
      <c r="G15" s="1">
        <v>47</v>
      </c>
      <c r="H15" s="1" t="s">
        <v>26</v>
      </c>
      <c r="I15" s="1" t="s">
        <v>51</v>
      </c>
      <c r="J15" s="1" t="s">
        <v>149</v>
      </c>
      <c r="K15" s="1">
        <v>29.7</v>
      </c>
      <c r="L15" s="1">
        <v>1553428</v>
      </c>
      <c r="M15" s="1">
        <v>24.56</v>
      </c>
      <c r="N15" s="1">
        <v>4</v>
      </c>
      <c r="O15" s="1" t="s">
        <v>41</v>
      </c>
      <c r="P15" s="1" t="s">
        <v>150</v>
      </c>
      <c r="Q15" s="1" t="s">
        <v>151</v>
      </c>
      <c r="R15" s="1">
        <v>51</v>
      </c>
      <c r="S15" s="1">
        <v>80</v>
      </c>
      <c r="T15" s="1" t="s">
        <v>152</v>
      </c>
    </row>
    <row r="16" spans="1:20" x14ac:dyDescent="0.3">
      <c r="A16" s="1" t="s">
        <v>153</v>
      </c>
      <c r="B16" s="1" t="s">
        <v>154</v>
      </c>
      <c r="C16" s="1" t="s">
        <v>82</v>
      </c>
      <c r="D16" s="1" t="s">
        <v>111</v>
      </c>
      <c r="E16" s="1" t="s">
        <v>155</v>
      </c>
      <c r="F16" s="1" t="s">
        <v>37</v>
      </c>
      <c r="G16" s="1">
        <v>27</v>
      </c>
      <c r="H16" s="1" t="s">
        <v>73</v>
      </c>
      <c r="I16" s="1" t="s">
        <v>27</v>
      </c>
      <c r="J16" s="1" t="s">
        <v>156</v>
      </c>
      <c r="K16" s="1">
        <v>4.5999999999999996</v>
      </c>
      <c r="L16" s="1">
        <v>2137036</v>
      </c>
      <c r="M16" s="1">
        <v>0.41</v>
      </c>
      <c r="N16" s="1">
        <v>2</v>
      </c>
      <c r="O16" s="1" t="s">
        <v>41</v>
      </c>
      <c r="P16" s="1" t="s">
        <v>157</v>
      </c>
      <c r="Q16" s="1" t="s">
        <v>158</v>
      </c>
      <c r="R16" s="1">
        <v>43</v>
      </c>
      <c r="S16" s="1">
        <v>5</v>
      </c>
      <c r="T16" s="1" t="s">
        <v>159</v>
      </c>
    </row>
    <row r="17" spans="1:20" x14ac:dyDescent="0.3">
      <c r="A17" s="1" t="s">
        <v>160</v>
      </c>
      <c r="B17" s="1" t="s">
        <v>161</v>
      </c>
      <c r="C17" s="1" t="s">
        <v>82</v>
      </c>
      <c r="D17" s="1" t="s">
        <v>70</v>
      </c>
      <c r="E17" s="1" t="s">
        <v>155</v>
      </c>
      <c r="F17" s="1" t="s">
        <v>25</v>
      </c>
      <c r="G17" s="1">
        <v>32</v>
      </c>
      <c r="H17" s="1" t="s">
        <v>50</v>
      </c>
      <c r="I17" s="1" t="s">
        <v>27</v>
      </c>
      <c r="J17" s="1" t="s">
        <v>162</v>
      </c>
      <c r="K17" s="1">
        <v>27.2</v>
      </c>
      <c r="L17" s="1">
        <v>528785</v>
      </c>
      <c r="M17" s="1">
        <v>11.27</v>
      </c>
      <c r="N17" s="1">
        <v>2</v>
      </c>
      <c r="O17" s="1" t="s">
        <v>135</v>
      </c>
      <c r="P17" s="1" t="s">
        <v>163</v>
      </c>
      <c r="Q17" s="1" t="s">
        <v>164</v>
      </c>
      <c r="R17" s="1">
        <v>75</v>
      </c>
      <c r="S17" s="1">
        <v>114</v>
      </c>
      <c r="T17" s="1" t="s">
        <v>165</v>
      </c>
    </row>
    <row r="18" spans="1:20" x14ac:dyDescent="0.3">
      <c r="A18" s="1" t="s">
        <v>166</v>
      </c>
      <c r="B18" s="1" t="s">
        <v>167</v>
      </c>
      <c r="C18" s="1" t="s">
        <v>46</v>
      </c>
      <c r="D18" s="1" t="s">
        <v>70</v>
      </c>
      <c r="E18" s="1" t="s">
        <v>168</v>
      </c>
      <c r="F18" s="1" t="s">
        <v>133</v>
      </c>
      <c r="G18" s="1">
        <v>32</v>
      </c>
      <c r="H18" s="1" t="s">
        <v>62</v>
      </c>
      <c r="I18" s="1" t="s">
        <v>27</v>
      </c>
      <c r="J18" s="1" t="s">
        <v>169</v>
      </c>
      <c r="K18" s="1">
        <v>19.2</v>
      </c>
      <c r="L18" s="1">
        <v>1490286</v>
      </c>
      <c r="M18" s="1">
        <v>1.82</v>
      </c>
      <c r="N18" s="1">
        <v>4</v>
      </c>
      <c r="O18" s="1" t="s">
        <v>76</v>
      </c>
      <c r="P18" s="1" t="s">
        <v>170</v>
      </c>
      <c r="Q18" s="1" t="s">
        <v>171</v>
      </c>
      <c r="R18" s="1">
        <v>80</v>
      </c>
      <c r="S18" s="1">
        <v>91</v>
      </c>
      <c r="T18" s="1" t="s">
        <v>172</v>
      </c>
    </row>
    <row r="19" spans="1:20" x14ac:dyDescent="0.3">
      <c r="A19" s="1" t="s">
        <v>173</v>
      </c>
      <c r="B19" s="1" t="s">
        <v>174</v>
      </c>
      <c r="C19" s="1" t="s">
        <v>46</v>
      </c>
      <c r="D19" s="1" t="s">
        <v>23</v>
      </c>
      <c r="E19" s="1" t="s">
        <v>175</v>
      </c>
      <c r="F19" s="1" t="s">
        <v>37</v>
      </c>
      <c r="G19" s="1">
        <v>28</v>
      </c>
      <c r="H19" s="1" t="s">
        <v>73</v>
      </c>
      <c r="I19" s="1" t="s">
        <v>125</v>
      </c>
      <c r="J19" s="1" t="s">
        <v>176</v>
      </c>
      <c r="K19" s="1">
        <v>5.4</v>
      </c>
      <c r="L19" s="1">
        <v>1667398</v>
      </c>
      <c r="M19" s="1">
        <v>17.73</v>
      </c>
      <c r="N19" s="1">
        <v>4</v>
      </c>
      <c r="O19" s="1" t="s">
        <v>29</v>
      </c>
      <c r="P19" s="1" t="s">
        <v>177</v>
      </c>
      <c r="Q19" s="1" t="s">
        <v>178</v>
      </c>
      <c r="R19" s="1">
        <v>59</v>
      </c>
      <c r="S19" s="1">
        <v>8</v>
      </c>
      <c r="T19" s="1" t="s">
        <v>179</v>
      </c>
    </row>
    <row r="20" spans="1:20" x14ac:dyDescent="0.3">
      <c r="A20" s="1" t="s">
        <v>180</v>
      </c>
      <c r="B20" s="1" t="s">
        <v>181</v>
      </c>
      <c r="C20" s="1" t="s">
        <v>110</v>
      </c>
      <c r="D20" s="1" t="s">
        <v>182</v>
      </c>
      <c r="E20" s="1" t="s">
        <v>36</v>
      </c>
      <c r="F20" s="1" t="s">
        <v>133</v>
      </c>
      <c r="G20" s="1">
        <v>44</v>
      </c>
      <c r="H20" s="1" t="s">
        <v>73</v>
      </c>
      <c r="I20" s="1" t="s">
        <v>85</v>
      </c>
      <c r="J20" s="1" t="s">
        <v>183</v>
      </c>
      <c r="K20" s="1">
        <v>8.3000000000000007</v>
      </c>
      <c r="L20" s="1">
        <v>340782</v>
      </c>
      <c r="M20" s="1">
        <v>6.73</v>
      </c>
      <c r="N20" s="1">
        <v>2</v>
      </c>
      <c r="O20" s="1" t="s">
        <v>41</v>
      </c>
      <c r="P20" s="1" t="s">
        <v>184</v>
      </c>
      <c r="Q20" s="1" t="s">
        <v>185</v>
      </c>
      <c r="R20" s="1">
        <v>24</v>
      </c>
      <c r="S20" s="1">
        <v>25</v>
      </c>
      <c r="T20" s="1" t="s">
        <v>186</v>
      </c>
    </row>
    <row r="21" spans="1:20" x14ac:dyDescent="0.3">
      <c r="A21" s="1" t="s">
        <v>187</v>
      </c>
      <c r="B21" s="1" t="s">
        <v>188</v>
      </c>
      <c r="C21" s="1" t="s">
        <v>46</v>
      </c>
      <c r="D21" s="1" t="s">
        <v>111</v>
      </c>
      <c r="E21" s="1" t="s">
        <v>189</v>
      </c>
      <c r="F21" s="1" t="s">
        <v>190</v>
      </c>
      <c r="G21" s="1">
        <v>32</v>
      </c>
      <c r="H21" s="1" t="s">
        <v>142</v>
      </c>
      <c r="I21" s="1" t="s">
        <v>85</v>
      </c>
      <c r="J21" s="1" t="s">
        <v>191</v>
      </c>
      <c r="K21" s="1">
        <v>6.1</v>
      </c>
      <c r="L21" s="1">
        <v>1688711</v>
      </c>
      <c r="M21" s="1">
        <v>3.84</v>
      </c>
      <c r="N21" s="1">
        <v>5</v>
      </c>
      <c r="O21" s="1" t="s">
        <v>41</v>
      </c>
      <c r="P21" s="1" t="s">
        <v>192</v>
      </c>
      <c r="Q21" s="1" t="s">
        <v>193</v>
      </c>
      <c r="R21" s="1">
        <v>54</v>
      </c>
      <c r="S21" s="1">
        <v>105</v>
      </c>
      <c r="T21" s="1" t="s">
        <v>194</v>
      </c>
    </row>
    <row r="22" spans="1:20" x14ac:dyDescent="0.3">
      <c r="A22" s="1" t="s">
        <v>195</v>
      </c>
      <c r="B22" s="1" t="s">
        <v>196</v>
      </c>
      <c r="C22" s="1" t="s">
        <v>197</v>
      </c>
      <c r="D22" s="1" t="s">
        <v>47</v>
      </c>
      <c r="E22" s="1" t="s">
        <v>155</v>
      </c>
      <c r="F22" s="1" t="s">
        <v>190</v>
      </c>
      <c r="G22" s="1">
        <v>53</v>
      </c>
      <c r="H22" s="1" t="s">
        <v>62</v>
      </c>
      <c r="I22" s="1" t="s">
        <v>198</v>
      </c>
      <c r="J22" s="1" t="s">
        <v>199</v>
      </c>
      <c r="K22" s="1">
        <v>12</v>
      </c>
      <c r="L22" s="1">
        <v>2128028</v>
      </c>
      <c r="M22" s="1">
        <v>3.39</v>
      </c>
      <c r="N22" s="1">
        <v>4</v>
      </c>
      <c r="O22" s="1" t="s">
        <v>135</v>
      </c>
      <c r="P22" s="1"/>
      <c r="Q22" s="1" t="s">
        <v>200</v>
      </c>
      <c r="R22" s="1">
        <v>6</v>
      </c>
      <c r="S22" s="1">
        <v>41</v>
      </c>
      <c r="T22" s="1" t="s">
        <v>201</v>
      </c>
    </row>
    <row r="23" spans="1:20" x14ac:dyDescent="0.3">
      <c r="A23" s="1" t="s">
        <v>202</v>
      </c>
      <c r="B23" s="1" t="s">
        <v>203</v>
      </c>
      <c r="C23" s="1" t="s">
        <v>124</v>
      </c>
      <c r="D23" s="1" t="s">
        <v>23</v>
      </c>
      <c r="E23" s="1" t="s">
        <v>71</v>
      </c>
      <c r="F23" s="1" t="s">
        <v>190</v>
      </c>
      <c r="G23" s="1">
        <v>52</v>
      </c>
      <c r="H23" s="1" t="s">
        <v>204</v>
      </c>
      <c r="I23" s="1" t="s">
        <v>85</v>
      </c>
      <c r="J23" s="1" t="s">
        <v>205</v>
      </c>
      <c r="K23" s="1">
        <v>22.1</v>
      </c>
      <c r="L23" s="1">
        <v>458231</v>
      </c>
      <c r="M23" s="1">
        <v>2.57</v>
      </c>
      <c r="N23" s="1"/>
      <c r="O23" s="1" t="s">
        <v>41</v>
      </c>
      <c r="P23" s="1" t="s">
        <v>206</v>
      </c>
      <c r="Q23" s="1" t="s">
        <v>207</v>
      </c>
      <c r="R23" s="1">
        <v>39</v>
      </c>
      <c r="S23" s="1">
        <v>105</v>
      </c>
      <c r="T23" s="1" t="s">
        <v>129</v>
      </c>
    </row>
    <row r="24" spans="1:20" x14ac:dyDescent="0.3">
      <c r="A24" s="1" t="s">
        <v>208</v>
      </c>
      <c r="B24" s="1" t="s">
        <v>209</v>
      </c>
      <c r="C24" s="1" t="s">
        <v>82</v>
      </c>
      <c r="D24" s="1" t="s">
        <v>47</v>
      </c>
      <c r="E24" s="1" t="s">
        <v>102</v>
      </c>
      <c r="F24" s="1" t="s">
        <v>25</v>
      </c>
      <c r="G24" s="1">
        <v>22</v>
      </c>
      <c r="H24" s="1" t="s">
        <v>50</v>
      </c>
      <c r="I24" s="1" t="s">
        <v>74</v>
      </c>
      <c r="J24" s="1" t="s">
        <v>210</v>
      </c>
      <c r="K24" s="1">
        <v>22.3</v>
      </c>
      <c r="L24" s="1">
        <v>1032383</v>
      </c>
      <c r="M24" s="1">
        <v>14.89</v>
      </c>
      <c r="N24" s="1">
        <v>4</v>
      </c>
      <c r="O24" s="1" t="s">
        <v>64</v>
      </c>
      <c r="P24" s="1" t="s">
        <v>211</v>
      </c>
      <c r="Q24" s="1" t="s">
        <v>212</v>
      </c>
      <c r="R24" s="1">
        <v>63</v>
      </c>
      <c r="S24" s="1">
        <v>52</v>
      </c>
      <c r="T24" s="1" t="s">
        <v>213</v>
      </c>
    </row>
    <row r="25" spans="1:20" x14ac:dyDescent="0.3">
      <c r="A25" s="1" t="s">
        <v>214</v>
      </c>
      <c r="B25" s="1" t="s">
        <v>215</v>
      </c>
      <c r="C25" s="1" t="s">
        <v>216</v>
      </c>
      <c r="D25" s="1" t="s">
        <v>217</v>
      </c>
      <c r="E25" s="1" t="s">
        <v>102</v>
      </c>
      <c r="F25" s="1" t="s">
        <v>37</v>
      </c>
      <c r="G25" s="1">
        <v>46</v>
      </c>
      <c r="H25" s="1" t="s">
        <v>218</v>
      </c>
      <c r="I25" s="1" t="s">
        <v>85</v>
      </c>
      <c r="J25" s="1" t="s">
        <v>219</v>
      </c>
      <c r="K25" s="1">
        <v>15.8</v>
      </c>
      <c r="L25" s="1">
        <v>627758</v>
      </c>
      <c r="M25" s="1">
        <v>3.95</v>
      </c>
      <c r="N25" s="1" t="s">
        <v>220</v>
      </c>
      <c r="O25" s="1" t="s">
        <v>41</v>
      </c>
      <c r="P25" s="1" t="s">
        <v>221</v>
      </c>
      <c r="Q25" s="1" t="s">
        <v>222</v>
      </c>
      <c r="R25" s="1">
        <v>68</v>
      </c>
      <c r="S25" s="1">
        <v>109</v>
      </c>
      <c r="T25" s="1" t="s">
        <v>79</v>
      </c>
    </row>
    <row r="26" spans="1:20" x14ac:dyDescent="0.3">
      <c r="A26" s="1" t="s">
        <v>223</v>
      </c>
      <c r="B26" s="1" t="s">
        <v>224</v>
      </c>
      <c r="C26" s="1" t="s">
        <v>22</v>
      </c>
      <c r="D26" s="1" t="s">
        <v>217</v>
      </c>
      <c r="E26" s="1" t="s">
        <v>36</v>
      </c>
      <c r="F26" s="1" t="s">
        <v>93</v>
      </c>
      <c r="G26" s="1">
        <v>26</v>
      </c>
      <c r="H26" s="1" t="s">
        <v>204</v>
      </c>
      <c r="I26" s="1" t="s">
        <v>27</v>
      </c>
      <c r="J26" s="1" t="s">
        <v>225</v>
      </c>
      <c r="K26" s="1">
        <v>6.6</v>
      </c>
      <c r="L26" s="1">
        <v>820468</v>
      </c>
      <c r="M26" s="1">
        <v>14.06</v>
      </c>
      <c r="N26" s="1" t="s">
        <v>220</v>
      </c>
      <c r="O26" s="1" t="s">
        <v>41</v>
      </c>
      <c r="P26" s="1" t="s">
        <v>220</v>
      </c>
      <c r="Q26" s="1" t="s">
        <v>226</v>
      </c>
      <c r="R26" s="1">
        <v>4</v>
      </c>
      <c r="S26" s="1">
        <v>15</v>
      </c>
      <c r="T26" s="1" t="s">
        <v>227</v>
      </c>
    </row>
    <row r="27" spans="1:20" x14ac:dyDescent="0.3">
      <c r="A27" s="1" t="s">
        <v>228</v>
      </c>
      <c r="B27" s="1" t="s">
        <v>229</v>
      </c>
      <c r="C27" s="1" t="s">
        <v>230</v>
      </c>
      <c r="D27" s="1" t="s">
        <v>231</v>
      </c>
      <c r="E27" s="1" t="s">
        <v>36</v>
      </c>
      <c r="F27" s="1" t="s">
        <v>49</v>
      </c>
      <c r="G27" s="1">
        <v>24</v>
      </c>
      <c r="H27" s="1" t="s">
        <v>26</v>
      </c>
      <c r="I27" s="1" t="s">
        <v>85</v>
      </c>
      <c r="J27" s="1" t="s">
        <v>232</v>
      </c>
      <c r="K27" s="1">
        <v>29.9</v>
      </c>
      <c r="L27" s="1">
        <v>929458</v>
      </c>
      <c r="M27" s="1">
        <v>15.18</v>
      </c>
      <c r="N27" s="1">
        <v>5</v>
      </c>
      <c r="O27" s="1" t="s">
        <v>29</v>
      </c>
      <c r="P27" s="1" t="s">
        <v>233</v>
      </c>
      <c r="Q27" s="1" t="s">
        <v>234</v>
      </c>
      <c r="R27" s="1">
        <v>66</v>
      </c>
      <c r="S27" s="1">
        <v>34</v>
      </c>
      <c r="T27" s="1" t="s">
        <v>235</v>
      </c>
    </row>
    <row r="28" spans="1:20" x14ac:dyDescent="0.3">
      <c r="A28" s="1" t="s">
        <v>236</v>
      </c>
      <c r="B28" s="1" t="s">
        <v>237</v>
      </c>
      <c r="C28" s="1" t="s">
        <v>58</v>
      </c>
      <c r="D28" s="1" t="s">
        <v>70</v>
      </c>
      <c r="E28" s="1" t="s">
        <v>168</v>
      </c>
      <c r="F28" s="1" t="s">
        <v>49</v>
      </c>
      <c r="G28" s="1">
        <v>40</v>
      </c>
      <c r="H28" s="1" t="s">
        <v>62</v>
      </c>
      <c r="I28" s="1" t="s">
        <v>74</v>
      </c>
      <c r="J28" s="1" t="s">
        <v>238</v>
      </c>
      <c r="K28" s="1">
        <v>27.9</v>
      </c>
      <c r="L28" s="1">
        <v>1982310</v>
      </c>
      <c r="M28" s="1">
        <v>3.69</v>
      </c>
      <c r="N28" s="1">
        <v>4</v>
      </c>
      <c r="O28" s="1" t="s">
        <v>41</v>
      </c>
      <c r="P28" s="1" t="s">
        <v>239</v>
      </c>
      <c r="Q28" s="1" t="s">
        <v>240</v>
      </c>
      <c r="R28" s="1">
        <v>16</v>
      </c>
      <c r="S28" s="1">
        <v>9</v>
      </c>
      <c r="T28" s="1" t="s">
        <v>241</v>
      </c>
    </row>
    <row r="29" spans="1:20" x14ac:dyDescent="0.3">
      <c r="A29" s="1" t="s">
        <v>242</v>
      </c>
      <c r="B29" s="1" t="s">
        <v>243</v>
      </c>
      <c r="C29" s="1" t="s">
        <v>230</v>
      </c>
      <c r="D29" s="1" t="s">
        <v>244</v>
      </c>
      <c r="E29" s="1" t="s">
        <v>168</v>
      </c>
      <c r="F29" s="1" t="s">
        <v>133</v>
      </c>
      <c r="G29" s="1">
        <v>36</v>
      </c>
      <c r="H29" s="1" t="s">
        <v>84</v>
      </c>
      <c r="I29" s="1" t="s">
        <v>198</v>
      </c>
      <c r="J29" s="1" t="s">
        <v>245</v>
      </c>
      <c r="K29" s="1">
        <v>22.2</v>
      </c>
      <c r="L29" s="1">
        <v>1193967</v>
      </c>
      <c r="M29" s="1">
        <v>7.26</v>
      </c>
      <c r="N29" s="1">
        <v>3</v>
      </c>
      <c r="O29" s="1" t="s">
        <v>76</v>
      </c>
      <c r="P29" s="1"/>
      <c r="Q29" s="1" t="s">
        <v>246</v>
      </c>
      <c r="R29" s="1">
        <v>74</v>
      </c>
      <c r="S29" s="1">
        <v>46</v>
      </c>
      <c r="T29" s="1" t="s">
        <v>129</v>
      </c>
    </row>
    <row r="30" spans="1:20" x14ac:dyDescent="0.3">
      <c r="A30" s="1" t="s">
        <v>247</v>
      </c>
      <c r="B30" s="1" t="s">
        <v>248</v>
      </c>
      <c r="C30" s="1" t="s">
        <v>69</v>
      </c>
      <c r="D30" s="1" t="s">
        <v>59</v>
      </c>
      <c r="E30" s="1" t="s">
        <v>189</v>
      </c>
      <c r="F30" s="1" t="s">
        <v>49</v>
      </c>
      <c r="G30" s="1">
        <v>45</v>
      </c>
      <c r="H30" s="1" t="s">
        <v>62</v>
      </c>
      <c r="I30" s="1" t="s">
        <v>27</v>
      </c>
      <c r="J30" s="1" t="s">
        <v>249</v>
      </c>
      <c r="K30" s="1">
        <v>19.100000000000001</v>
      </c>
      <c r="L30" s="1">
        <v>1872985</v>
      </c>
      <c r="M30" s="1">
        <v>1.4</v>
      </c>
      <c r="N30" s="1">
        <v>1</v>
      </c>
      <c r="O30" s="1" t="s">
        <v>41</v>
      </c>
      <c r="P30" s="1" t="s">
        <v>250</v>
      </c>
      <c r="Q30" s="1" t="s">
        <v>251</v>
      </c>
      <c r="R30" s="1">
        <v>16</v>
      </c>
      <c r="S30" s="1">
        <v>118</v>
      </c>
      <c r="T30" s="1" t="s">
        <v>252</v>
      </c>
    </row>
    <row r="31" spans="1:20" x14ac:dyDescent="0.3">
      <c r="A31" s="1" t="s">
        <v>253</v>
      </c>
      <c r="B31" s="1" t="s">
        <v>254</v>
      </c>
      <c r="C31" s="1" t="s">
        <v>255</v>
      </c>
      <c r="D31" s="1" t="s">
        <v>256</v>
      </c>
      <c r="E31" s="1" t="s">
        <v>155</v>
      </c>
      <c r="F31" s="1" t="s">
        <v>49</v>
      </c>
      <c r="G31" s="1">
        <v>49</v>
      </c>
      <c r="H31" s="1" t="s">
        <v>73</v>
      </c>
      <c r="I31" s="1" t="s">
        <v>27</v>
      </c>
      <c r="J31" s="1" t="s">
        <v>257</v>
      </c>
      <c r="K31" s="1">
        <v>19.3</v>
      </c>
      <c r="L31" s="1">
        <v>2036208</v>
      </c>
      <c r="M31" s="1">
        <v>14.52</v>
      </c>
      <c r="N31" s="1">
        <v>4</v>
      </c>
      <c r="O31" s="1" t="s">
        <v>258</v>
      </c>
      <c r="P31" s="1" t="s">
        <v>259</v>
      </c>
      <c r="Q31" s="1" t="s">
        <v>260</v>
      </c>
      <c r="R31" s="1">
        <v>73</v>
      </c>
      <c r="S31" s="1">
        <v>103</v>
      </c>
      <c r="T31" s="1" t="s">
        <v>43</v>
      </c>
    </row>
    <row r="32" spans="1:20" x14ac:dyDescent="0.3">
      <c r="A32" s="1" t="s">
        <v>261</v>
      </c>
      <c r="B32" s="1" t="s">
        <v>262</v>
      </c>
      <c r="C32" s="1" t="s">
        <v>132</v>
      </c>
      <c r="D32" s="1" t="s">
        <v>256</v>
      </c>
      <c r="E32" s="1" t="s">
        <v>189</v>
      </c>
      <c r="F32" s="1" t="s">
        <v>190</v>
      </c>
      <c r="G32" s="1">
        <v>52</v>
      </c>
      <c r="H32" s="1" t="s">
        <v>73</v>
      </c>
      <c r="I32" s="1" t="s">
        <v>85</v>
      </c>
      <c r="J32" s="1" t="s">
        <v>263</v>
      </c>
      <c r="K32" s="1">
        <v>16.100000000000001</v>
      </c>
      <c r="L32" s="1">
        <v>1941494</v>
      </c>
      <c r="M32" s="1">
        <v>17.739999999999998</v>
      </c>
      <c r="N32" s="1">
        <v>3</v>
      </c>
      <c r="O32" s="1" t="s">
        <v>41</v>
      </c>
      <c r="P32" s="1" t="s">
        <v>264</v>
      </c>
      <c r="Q32" s="1" t="s">
        <v>265</v>
      </c>
      <c r="R32" s="1">
        <v>20</v>
      </c>
      <c r="S32" s="1">
        <v>56</v>
      </c>
      <c r="T32" s="1" t="s">
        <v>172</v>
      </c>
    </row>
    <row r="33" spans="1:20" x14ac:dyDescent="0.3">
      <c r="A33" s="1" t="s">
        <v>266</v>
      </c>
      <c r="B33" s="1" t="s">
        <v>267</v>
      </c>
      <c r="C33" s="1" t="s">
        <v>35</v>
      </c>
      <c r="D33" s="1" t="s">
        <v>217</v>
      </c>
      <c r="E33" s="1" t="s">
        <v>71</v>
      </c>
      <c r="F33" s="1" t="s">
        <v>190</v>
      </c>
      <c r="G33" s="1">
        <v>48</v>
      </c>
      <c r="H33" s="1" t="s">
        <v>62</v>
      </c>
      <c r="I33" s="1" t="s">
        <v>74</v>
      </c>
      <c r="J33" s="1" t="s">
        <v>268</v>
      </c>
      <c r="K33" s="1">
        <v>6.4</v>
      </c>
      <c r="L33" s="1">
        <v>932410</v>
      </c>
      <c r="M33" s="1">
        <v>1.45</v>
      </c>
      <c r="N33" s="1">
        <v>3</v>
      </c>
      <c r="O33" s="1" t="s">
        <v>258</v>
      </c>
      <c r="P33" s="1" t="s">
        <v>269</v>
      </c>
      <c r="Q33" s="1" t="s">
        <v>270</v>
      </c>
      <c r="R33" s="1">
        <v>26</v>
      </c>
      <c r="S33" s="1">
        <v>21</v>
      </c>
      <c r="T33" s="1" t="s">
        <v>271</v>
      </c>
    </row>
    <row r="34" spans="1:20" x14ac:dyDescent="0.3">
      <c r="A34" s="1" t="s">
        <v>272</v>
      </c>
      <c r="B34" s="1" t="s">
        <v>273</v>
      </c>
      <c r="C34" s="1" t="s">
        <v>255</v>
      </c>
      <c r="D34" s="1" t="s">
        <v>101</v>
      </c>
      <c r="E34" s="1" t="s">
        <v>60</v>
      </c>
      <c r="F34" s="1" t="s">
        <v>133</v>
      </c>
      <c r="G34" s="1">
        <v>32</v>
      </c>
      <c r="H34" s="1" t="s">
        <v>50</v>
      </c>
      <c r="I34" s="1" t="s">
        <v>118</v>
      </c>
      <c r="J34" s="1" t="s">
        <v>274</v>
      </c>
      <c r="K34" s="1">
        <v>25.8</v>
      </c>
      <c r="L34" s="1">
        <v>1263441</v>
      </c>
      <c r="M34" s="1">
        <v>23.19</v>
      </c>
      <c r="N34" s="1" t="s">
        <v>220</v>
      </c>
      <c r="O34" s="1" t="s">
        <v>41</v>
      </c>
      <c r="P34" s="1" t="s">
        <v>275</v>
      </c>
      <c r="Q34" s="1" t="s">
        <v>276</v>
      </c>
      <c r="R34" s="1">
        <v>73</v>
      </c>
      <c r="S34" s="1">
        <v>53</v>
      </c>
      <c r="T34" s="1"/>
    </row>
    <row r="35" spans="1:20" x14ac:dyDescent="0.3">
      <c r="A35" s="1" t="s">
        <v>277</v>
      </c>
      <c r="B35" s="1" t="s">
        <v>278</v>
      </c>
      <c r="C35" s="1" t="s">
        <v>58</v>
      </c>
      <c r="D35" s="1" t="s">
        <v>47</v>
      </c>
      <c r="E35" s="1" t="s">
        <v>92</v>
      </c>
      <c r="F35" s="1" t="s">
        <v>93</v>
      </c>
      <c r="G35" s="1">
        <v>48</v>
      </c>
      <c r="H35" s="1" t="s">
        <v>142</v>
      </c>
      <c r="I35" s="1" t="s">
        <v>125</v>
      </c>
      <c r="J35" s="1" t="s">
        <v>279</v>
      </c>
      <c r="K35" s="1">
        <v>25</v>
      </c>
      <c r="L35" s="1">
        <v>2339931</v>
      </c>
      <c r="M35" s="1">
        <v>1.68</v>
      </c>
      <c r="N35" s="1">
        <v>1</v>
      </c>
      <c r="O35" s="1" t="s">
        <v>41</v>
      </c>
      <c r="P35" s="1" t="s">
        <v>280</v>
      </c>
      <c r="Q35" s="1" t="s">
        <v>281</v>
      </c>
      <c r="R35" s="1">
        <v>11</v>
      </c>
      <c r="S35" s="1">
        <v>99</v>
      </c>
      <c r="T35" s="1" t="s">
        <v>166</v>
      </c>
    </row>
    <row r="36" spans="1:20" x14ac:dyDescent="0.3">
      <c r="A36" s="1" t="s">
        <v>282</v>
      </c>
      <c r="B36" s="1" t="s">
        <v>283</v>
      </c>
      <c r="C36" s="1" t="s">
        <v>58</v>
      </c>
      <c r="D36" s="1" t="s">
        <v>182</v>
      </c>
      <c r="E36" s="1" t="s">
        <v>189</v>
      </c>
      <c r="F36" s="1" t="s">
        <v>49</v>
      </c>
      <c r="G36" s="1">
        <v>31</v>
      </c>
      <c r="H36" s="1" t="s">
        <v>103</v>
      </c>
      <c r="I36" s="1" t="s">
        <v>125</v>
      </c>
      <c r="J36" s="1" t="s">
        <v>284</v>
      </c>
      <c r="K36" s="1">
        <v>5.5</v>
      </c>
      <c r="L36" s="1">
        <v>2091433</v>
      </c>
      <c r="M36" s="1"/>
      <c r="N36" s="1">
        <v>2</v>
      </c>
      <c r="O36" s="1" t="s">
        <v>41</v>
      </c>
      <c r="P36" s="1" t="s">
        <v>285</v>
      </c>
      <c r="Q36" s="1" t="s">
        <v>286</v>
      </c>
      <c r="R36" s="1">
        <v>30</v>
      </c>
      <c r="S36" s="1">
        <v>38</v>
      </c>
      <c r="T36" s="1" t="s">
        <v>287</v>
      </c>
    </row>
    <row r="37" spans="1:20" x14ac:dyDescent="0.3">
      <c r="A37" s="1" t="s">
        <v>288</v>
      </c>
      <c r="B37" s="1" t="s">
        <v>289</v>
      </c>
      <c r="C37" s="1" t="s">
        <v>230</v>
      </c>
      <c r="D37" s="1" t="s">
        <v>23</v>
      </c>
      <c r="E37" s="1" t="s">
        <v>290</v>
      </c>
      <c r="F37" s="1" t="s">
        <v>37</v>
      </c>
      <c r="G37" s="1">
        <v>44</v>
      </c>
      <c r="H37" s="1" t="s">
        <v>38</v>
      </c>
      <c r="I37" s="1" t="s">
        <v>85</v>
      </c>
      <c r="J37" s="1" t="s">
        <v>291</v>
      </c>
      <c r="K37" s="1">
        <v>2.1</v>
      </c>
      <c r="L37" s="1">
        <v>2258843</v>
      </c>
      <c r="M37" s="1">
        <v>10.55</v>
      </c>
      <c r="N37" s="1">
        <v>3</v>
      </c>
      <c r="O37" s="1" t="s">
        <v>41</v>
      </c>
      <c r="P37" s="1" t="s">
        <v>292</v>
      </c>
      <c r="Q37" s="1" t="s">
        <v>293</v>
      </c>
      <c r="R37" s="1">
        <v>31</v>
      </c>
      <c r="S37" s="1">
        <v>9</v>
      </c>
      <c r="T37" s="1" t="s">
        <v>294</v>
      </c>
    </row>
    <row r="38" spans="1:20" x14ac:dyDescent="0.3">
      <c r="A38" s="1" t="s">
        <v>295</v>
      </c>
      <c r="B38" s="1" t="s">
        <v>278</v>
      </c>
      <c r="C38" s="1" t="s">
        <v>69</v>
      </c>
      <c r="D38" s="1" t="s">
        <v>47</v>
      </c>
      <c r="E38" s="1" t="s">
        <v>290</v>
      </c>
      <c r="F38" s="1" t="s">
        <v>93</v>
      </c>
      <c r="G38" s="1">
        <v>50</v>
      </c>
      <c r="H38" s="1" t="s">
        <v>103</v>
      </c>
      <c r="I38" s="1" t="s">
        <v>27</v>
      </c>
      <c r="J38" s="1" t="s">
        <v>296</v>
      </c>
      <c r="K38" s="1">
        <v>25.5</v>
      </c>
      <c r="L38" s="1">
        <v>1106309</v>
      </c>
      <c r="M38" s="1">
        <v>8.93</v>
      </c>
      <c r="N38" s="1">
        <v>3</v>
      </c>
      <c r="O38" s="1" t="s">
        <v>41</v>
      </c>
      <c r="P38" s="1" t="s">
        <v>297</v>
      </c>
      <c r="Q38" s="1" t="s">
        <v>298</v>
      </c>
      <c r="R38" s="1">
        <v>17</v>
      </c>
      <c r="S38" s="1">
        <v>105</v>
      </c>
      <c r="T38" s="1" t="s">
        <v>172</v>
      </c>
    </row>
    <row r="39" spans="1:20" x14ac:dyDescent="0.3">
      <c r="A39" s="1" t="s">
        <v>299</v>
      </c>
      <c r="B39" s="1" t="s">
        <v>300</v>
      </c>
      <c r="C39" s="1" t="s">
        <v>46</v>
      </c>
      <c r="D39" s="1" t="s">
        <v>182</v>
      </c>
      <c r="E39" s="1" t="s">
        <v>36</v>
      </c>
      <c r="F39" s="1" t="s">
        <v>37</v>
      </c>
      <c r="G39" s="1">
        <v>34</v>
      </c>
      <c r="H39" s="1" t="s">
        <v>204</v>
      </c>
      <c r="I39" s="1" t="s">
        <v>74</v>
      </c>
      <c r="J39" s="1" t="s">
        <v>301</v>
      </c>
      <c r="K39" s="1">
        <v>23.7</v>
      </c>
      <c r="L39" s="1">
        <v>2481266</v>
      </c>
      <c r="M39" s="1">
        <v>12.05</v>
      </c>
      <c r="N39" s="1">
        <v>5</v>
      </c>
      <c r="O39" s="1" t="s">
        <v>64</v>
      </c>
      <c r="P39" s="1" t="s">
        <v>302</v>
      </c>
      <c r="Q39" s="1" t="s">
        <v>303</v>
      </c>
      <c r="R39" s="1">
        <v>31</v>
      </c>
      <c r="S39" s="1">
        <v>96</v>
      </c>
      <c r="T39" s="1" t="s">
        <v>194</v>
      </c>
    </row>
    <row r="40" spans="1:20" x14ac:dyDescent="0.3">
      <c r="A40" s="1" t="s">
        <v>304</v>
      </c>
      <c r="B40" s="1" t="s">
        <v>305</v>
      </c>
      <c r="C40" s="1" t="s">
        <v>216</v>
      </c>
      <c r="D40" s="1" t="s">
        <v>182</v>
      </c>
      <c r="E40" s="1" t="s">
        <v>71</v>
      </c>
      <c r="F40" s="1" t="s">
        <v>37</v>
      </c>
      <c r="G40" s="1">
        <v>47</v>
      </c>
      <c r="H40" s="1" t="s">
        <v>38</v>
      </c>
      <c r="I40" s="1" t="s">
        <v>118</v>
      </c>
      <c r="J40" s="1" t="s">
        <v>306</v>
      </c>
      <c r="K40" s="1">
        <v>26.8</v>
      </c>
      <c r="L40" s="1">
        <v>726653</v>
      </c>
      <c r="M40" s="1">
        <v>14.84</v>
      </c>
      <c r="N40" s="1">
        <v>3</v>
      </c>
      <c r="O40" s="1" t="s">
        <v>29</v>
      </c>
      <c r="P40" s="1" t="s">
        <v>307</v>
      </c>
      <c r="Q40" s="1" t="s">
        <v>308</v>
      </c>
      <c r="R40" s="1">
        <v>51</v>
      </c>
      <c r="S40" s="1">
        <v>85</v>
      </c>
      <c r="T40" s="1" t="s">
        <v>309</v>
      </c>
    </row>
    <row r="41" spans="1:20" x14ac:dyDescent="0.3">
      <c r="A41" s="1" t="s">
        <v>310</v>
      </c>
      <c r="B41" s="1" t="s">
        <v>311</v>
      </c>
      <c r="C41" s="1" t="s">
        <v>35</v>
      </c>
      <c r="D41" s="1" t="s">
        <v>83</v>
      </c>
      <c r="E41" s="1" t="s">
        <v>71</v>
      </c>
      <c r="F41" s="1" t="s">
        <v>190</v>
      </c>
      <c r="G41" s="1">
        <v>50</v>
      </c>
      <c r="H41" s="1" t="s">
        <v>204</v>
      </c>
      <c r="I41" s="1" t="s">
        <v>51</v>
      </c>
      <c r="J41" s="1" t="s">
        <v>312</v>
      </c>
      <c r="K41" s="1">
        <v>27.2</v>
      </c>
      <c r="L41" s="1">
        <v>1054162</v>
      </c>
      <c r="M41" s="1">
        <v>6.36</v>
      </c>
      <c r="N41" s="1">
        <v>3</v>
      </c>
      <c r="O41" s="1" t="s">
        <v>135</v>
      </c>
      <c r="P41" s="1" t="s">
        <v>313</v>
      </c>
      <c r="Q41" s="1" t="s">
        <v>314</v>
      </c>
      <c r="R41" s="1"/>
      <c r="S41" s="1">
        <v>2</v>
      </c>
      <c r="T41" s="1" t="s">
        <v>79</v>
      </c>
    </row>
    <row r="42" spans="1:20" x14ac:dyDescent="0.3">
      <c r="A42" s="1" t="s">
        <v>315</v>
      </c>
      <c r="B42" s="1" t="s">
        <v>316</v>
      </c>
      <c r="C42" s="1" t="s">
        <v>46</v>
      </c>
      <c r="D42" s="1" t="s">
        <v>59</v>
      </c>
      <c r="E42" s="1" t="s">
        <v>24</v>
      </c>
      <c r="F42" s="1" t="s">
        <v>37</v>
      </c>
      <c r="G42" s="1">
        <v>33</v>
      </c>
      <c r="H42" s="1" t="s">
        <v>142</v>
      </c>
      <c r="I42" s="1" t="s">
        <v>125</v>
      </c>
      <c r="J42" s="1" t="s">
        <v>317</v>
      </c>
      <c r="K42" s="1">
        <v>23.8</v>
      </c>
      <c r="L42" s="1">
        <v>384336</v>
      </c>
      <c r="M42" s="1">
        <v>4.45</v>
      </c>
      <c r="N42" s="1">
        <v>4</v>
      </c>
      <c r="O42" s="1" t="s">
        <v>41</v>
      </c>
      <c r="P42" s="1" t="s">
        <v>318</v>
      </c>
      <c r="Q42" s="1" t="s">
        <v>319</v>
      </c>
      <c r="R42" s="1">
        <v>40</v>
      </c>
      <c r="S42" s="1">
        <v>106</v>
      </c>
      <c r="T42" s="1" t="s">
        <v>235</v>
      </c>
    </row>
    <row r="43" spans="1:20" x14ac:dyDescent="0.3">
      <c r="A43" s="1" t="s">
        <v>320</v>
      </c>
      <c r="B43" s="1" t="s">
        <v>321</v>
      </c>
      <c r="C43" s="1" t="s">
        <v>255</v>
      </c>
      <c r="D43" s="1" t="s">
        <v>182</v>
      </c>
      <c r="E43" s="1" t="s">
        <v>71</v>
      </c>
      <c r="F43" s="1" t="s">
        <v>25</v>
      </c>
      <c r="G43" s="1">
        <v>44</v>
      </c>
      <c r="H43" s="1" t="s">
        <v>103</v>
      </c>
      <c r="I43" s="1" t="s">
        <v>74</v>
      </c>
      <c r="J43" s="1" t="s">
        <v>322</v>
      </c>
      <c r="K43" s="1">
        <v>20</v>
      </c>
      <c r="L43" s="1">
        <v>1437047</v>
      </c>
      <c r="M43" s="1">
        <v>18.03</v>
      </c>
      <c r="N43" s="1">
        <v>1</v>
      </c>
      <c r="O43" s="1" t="s">
        <v>41</v>
      </c>
      <c r="P43" s="1" t="s">
        <v>323</v>
      </c>
      <c r="Q43" s="1" t="s">
        <v>324</v>
      </c>
      <c r="R43" s="1">
        <v>61</v>
      </c>
      <c r="S43" s="1">
        <v>14</v>
      </c>
      <c r="T43" s="1" t="s">
        <v>271</v>
      </c>
    </row>
    <row r="44" spans="1:20" x14ac:dyDescent="0.3">
      <c r="A44" s="1" t="s">
        <v>325</v>
      </c>
      <c r="B44" s="1" t="s">
        <v>326</v>
      </c>
      <c r="C44" s="1" t="s">
        <v>230</v>
      </c>
      <c r="D44" s="1" t="s">
        <v>327</v>
      </c>
      <c r="E44" s="1" t="s">
        <v>92</v>
      </c>
      <c r="F44" s="1" t="s">
        <v>37</v>
      </c>
      <c r="G44" s="1">
        <v>23</v>
      </c>
      <c r="H44" s="1" t="s">
        <v>73</v>
      </c>
      <c r="I44" s="1" t="s">
        <v>85</v>
      </c>
      <c r="J44" s="1" t="s">
        <v>328</v>
      </c>
      <c r="K44" s="1">
        <v>29.3</v>
      </c>
      <c r="L44" s="1">
        <v>829439</v>
      </c>
      <c r="M44" s="1">
        <v>24.29</v>
      </c>
      <c r="N44" s="1">
        <v>3</v>
      </c>
      <c r="O44" s="1" t="s">
        <v>29</v>
      </c>
      <c r="P44" s="1" t="s">
        <v>329</v>
      </c>
      <c r="Q44" s="1" t="s">
        <v>330</v>
      </c>
      <c r="R44" s="1">
        <v>65</v>
      </c>
      <c r="S44" s="1">
        <v>107</v>
      </c>
      <c r="T44" s="1" t="s">
        <v>107</v>
      </c>
    </row>
    <row r="45" spans="1:20" x14ac:dyDescent="0.3">
      <c r="A45" s="1" t="s">
        <v>309</v>
      </c>
      <c r="B45" s="1" t="s">
        <v>331</v>
      </c>
      <c r="C45" s="1" t="s">
        <v>197</v>
      </c>
      <c r="D45" s="1" t="s">
        <v>244</v>
      </c>
      <c r="E45" s="1" t="s">
        <v>24</v>
      </c>
      <c r="F45" s="1" t="s">
        <v>190</v>
      </c>
      <c r="G45" s="1">
        <v>43</v>
      </c>
      <c r="H45" s="1" t="s">
        <v>26</v>
      </c>
      <c r="I45" s="1" t="s">
        <v>125</v>
      </c>
      <c r="J45" s="1" t="s">
        <v>332</v>
      </c>
      <c r="K45" s="1">
        <v>10.1</v>
      </c>
      <c r="L45" s="1">
        <v>1963893</v>
      </c>
      <c r="M45" s="1">
        <v>19.3</v>
      </c>
      <c r="N45" s="1">
        <v>4</v>
      </c>
      <c r="O45" s="1" t="s">
        <v>29</v>
      </c>
      <c r="P45" s="1" t="s">
        <v>333</v>
      </c>
      <c r="Q45" s="1" t="s">
        <v>334</v>
      </c>
      <c r="R45" s="1">
        <v>31</v>
      </c>
      <c r="S45" s="1">
        <v>10</v>
      </c>
      <c r="T45" s="1" t="s">
        <v>335</v>
      </c>
    </row>
    <row r="46" spans="1:20" x14ac:dyDescent="0.3">
      <c r="A46" s="1" t="s">
        <v>336</v>
      </c>
      <c r="B46" s="1" t="s">
        <v>337</v>
      </c>
      <c r="C46" s="1" t="s">
        <v>69</v>
      </c>
      <c r="D46" s="1" t="s">
        <v>70</v>
      </c>
      <c r="E46" s="1" t="s">
        <v>102</v>
      </c>
      <c r="F46" s="1" t="s">
        <v>61</v>
      </c>
      <c r="G46" s="1">
        <v>36</v>
      </c>
      <c r="H46" s="1" t="s">
        <v>103</v>
      </c>
      <c r="I46" s="1" t="s">
        <v>39</v>
      </c>
      <c r="J46" s="1" t="s">
        <v>338</v>
      </c>
      <c r="K46" s="1">
        <v>21.4</v>
      </c>
      <c r="L46" s="1">
        <v>1581190</v>
      </c>
      <c r="M46" s="1">
        <v>2.56</v>
      </c>
      <c r="N46" s="1">
        <v>5</v>
      </c>
      <c r="O46" s="1" t="s">
        <v>41</v>
      </c>
      <c r="P46" s="1" t="s">
        <v>339</v>
      </c>
      <c r="Q46" s="1" t="s">
        <v>340</v>
      </c>
      <c r="R46" s="1">
        <v>47</v>
      </c>
      <c r="S46" s="1">
        <v>76</v>
      </c>
      <c r="T46" s="1" t="s">
        <v>309</v>
      </c>
    </row>
    <row r="47" spans="1:20" x14ac:dyDescent="0.3">
      <c r="A47" s="1" t="s">
        <v>179</v>
      </c>
      <c r="B47" s="1" t="s">
        <v>341</v>
      </c>
      <c r="C47" s="1" t="s">
        <v>132</v>
      </c>
      <c r="D47" s="1" t="s">
        <v>244</v>
      </c>
      <c r="E47" s="1" t="s">
        <v>24</v>
      </c>
      <c r="F47" s="1" t="s">
        <v>190</v>
      </c>
      <c r="G47" s="1">
        <v>22</v>
      </c>
      <c r="H47" s="1" t="s">
        <v>50</v>
      </c>
      <c r="I47" s="1" t="s">
        <v>39</v>
      </c>
      <c r="J47" s="1" t="s">
        <v>342</v>
      </c>
      <c r="K47" s="1">
        <v>8.1999999999999993</v>
      </c>
      <c r="L47" s="1">
        <v>848697</v>
      </c>
      <c r="M47" s="1">
        <v>7.71</v>
      </c>
      <c r="N47" s="1">
        <v>2</v>
      </c>
      <c r="O47" s="1" t="s">
        <v>41</v>
      </c>
      <c r="P47" s="1" t="s">
        <v>220</v>
      </c>
      <c r="Q47" s="1" t="s">
        <v>343</v>
      </c>
      <c r="R47" s="1">
        <v>5</v>
      </c>
      <c r="S47" s="1">
        <v>26</v>
      </c>
      <c r="T47" s="1" t="s">
        <v>107</v>
      </c>
    </row>
    <row r="48" spans="1:20" x14ac:dyDescent="0.3">
      <c r="A48" s="1" t="s">
        <v>344</v>
      </c>
      <c r="B48" s="1" t="s">
        <v>345</v>
      </c>
      <c r="C48" s="1" t="s">
        <v>132</v>
      </c>
      <c r="D48" s="1" t="s">
        <v>327</v>
      </c>
      <c r="E48" s="1" t="s">
        <v>102</v>
      </c>
      <c r="F48" s="1" t="s">
        <v>37</v>
      </c>
      <c r="G48" s="1">
        <v>50</v>
      </c>
      <c r="H48" s="1" t="s">
        <v>62</v>
      </c>
      <c r="I48" s="1" t="s">
        <v>118</v>
      </c>
      <c r="J48" s="1" t="s">
        <v>346</v>
      </c>
      <c r="K48" s="1">
        <v>13.9</v>
      </c>
      <c r="L48" s="1">
        <v>1404566</v>
      </c>
      <c r="M48" s="1">
        <v>24.18</v>
      </c>
      <c r="N48" s="1">
        <v>1</v>
      </c>
      <c r="O48" s="1" t="s">
        <v>41</v>
      </c>
      <c r="P48" s="1" t="s">
        <v>347</v>
      </c>
      <c r="Q48" s="1" t="s">
        <v>348</v>
      </c>
      <c r="R48" s="1">
        <v>24</v>
      </c>
      <c r="S48" s="1">
        <v>63</v>
      </c>
      <c r="T48" s="1" t="s">
        <v>213</v>
      </c>
    </row>
    <row r="49" spans="1:20" x14ac:dyDescent="0.3">
      <c r="A49" s="1" t="s">
        <v>349</v>
      </c>
      <c r="B49" s="1" t="s">
        <v>350</v>
      </c>
      <c r="C49" s="1" t="s">
        <v>230</v>
      </c>
      <c r="D49" s="1" t="s">
        <v>141</v>
      </c>
      <c r="E49" s="1" t="s">
        <v>48</v>
      </c>
      <c r="F49" s="1" t="s">
        <v>61</v>
      </c>
      <c r="G49" s="1">
        <v>47</v>
      </c>
      <c r="H49" s="1" t="s">
        <v>62</v>
      </c>
      <c r="I49" s="1" t="s">
        <v>125</v>
      </c>
      <c r="J49" s="1" t="s">
        <v>351</v>
      </c>
      <c r="K49" s="1">
        <v>19.7</v>
      </c>
      <c r="L49" s="1">
        <v>748712</v>
      </c>
      <c r="M49" s="1">
        <v>5.21</v>
      </c>
      <c r="N49" s="1">
        <v>4</v>
      </c>
      <c r="O49" s="1" t="s">
        <v>64</v>
      </c>
      <c r="P49" s="1" t="s">
        <v>352</v>
      </c>
      <c r="Q49" s="1" t="s">
        <v>353</v>
      </c>
      <c r="R49" s="1">
        <v>55</v>
      </c>
      <c r="S49" s="1">
        <v>55</v>
      </c>
      <c r="T49" s="1" t="s">
        <v>354</v>
      </c>
    </row>
    <row r="50" spans="1:20" x14ac:dyDescent="0.3">
      <c r="A50" s="1" t="s">
        <v>355</v>
      </c>
      <c r="B50" s="1" t="s">
        <v>356</v>
      </c>
      <c r="C50" s="1" t="s">
        <v>216</v>
      </c>
      <c r="D50" s="1" t="s">
        <v>83</v>
      </c>
      <c r="E50" s="1" t="s">
        <v>168</v>
      </c>
      <c r="F50" s="1" t="s">
        <v>49</v>
      </c>
      <c r="G50" s="1">
        <v>41</v>
      </c>
      <c r="H50" s="1" t="s">
        <v>26</v>
      </c>
      <c r="I50" s="1" t="s">
        <v>27</v>
      </c>
      <c r="J50" s="1" t="s">
        <v>357</v>
      </c>
      <c r="K50" s="1">
        <v>7.7</v>
      </c>
      <c r="L50" s="1">
        <v>1527603</v>
      </c>
      <c r="M50" s="1">
        <v>3.43</v>
      </c>
      <c r="N50" s="1">
        <v>1</v>
      </c>
      <c r="O50" s="1" t="s">
        <v>29</v>
      </c>
      <c r="P50" s="1" t="s">
        <v>358</v>
      </c>
      <c r="Q50" s="1" t="s">
        <v>359</v>
      </c>
      <c r="R50" s="1">
        <v>29</v>
      </c>
      <c r="S50" s="1">
        <v>70</v>
      </c>
      <c r="T50" s="1" t="s">
        <v>360</v>
      </c>
    </row>
    <row r="51" spans="1:20" x14ac:dyDescent="0.3">
      <c r="A51" s="1" t="s">
        <v>361</v>
      </c>
      <c r="B51" s="1" t="s">
        <v>362</v>
      </c>
      <c r="C51" s="1" t="s">
        <v>35</v>
      </c>
      <c r="D51" s="1" t="s">
        <v>83</v>
      </c>
      <c r="E51" s="1" t="s">
        <v>71</v>
      </c>
      <c r="F51" s="1" t="s">
        <v>72</v>
      </c>
      <c r="G51" s="1">
        <v>43</v>
      </c>
      <c r="H51" s="1" t="s">
        <v>142</v>
      </c>
      <c r="I51" s="1" t="s">
        <v>125</v>
      </c>
      <c r="J51" s="1" t="s">
        <v>363</v>
      </c>
      <c r="K51" s="1">
        <v>27.8</v>
      </c>
      <c r="L51" s="1">
        <v>2233552</v>
      </c>
      <c r="M51" s="1">
        <v>16.18</v>
      </c>
      <c r="N51" s="1">
        <v>3</v>
      </c>
      <c r="O51" s="1" t="s">
        <v>41</v>
      </c>
      <c r="P51" s="1" t="s">
        <v>364</v>
      </c>
      <c r="Q51" s="1" t="s">
        <v>365</v>
      </c>
      <c r="R51" s="1">
        <v>70</v>
      </c>
      <c r="S51" s="1">
        <v>11</v>
      </c>
      <c r="T51" s="1" t="s">
        <v>138</v>
      </c>
    </row>
    <row r="52" spans="1:20" x14ac:dyDescent="0.3">
      <c r="A52" s="1" t="s">
        <v>366</v>
      </c>
      <c r="B52" s="1" t="s">
        <v>367</v>
      </c>
      <c r="C52" s="1" t="s">
        <v>132</v>
      </c>
      <c r="D52" s="1" t="s">
        <v>182</v>
      </c>
      <c r="E52" s="1" t="s">
        <v>102</v>
      </c>
      <c r="F52" s="1" t="s">
        <v>133</v>
      </c>
      <c r="G52" s="1">
        <v>38</v>
      </c>
      <c r="H52" s="1" t="s">
        <v>38</v>
      </c>
      <c r="I52" s="1" t="s">
        <v>118</v>
      </c>
      <c r="J52" s="1" t="s">
        <v>368</v>
      </c>
      <c r="K52" s="1">
        <v>19.8</v>
      </c>
      <c r="L52" s="1">
        <v>941182</v>
      </c>
      <c r="M52" s="1">
        <v>24.66</v>
      </c>
      <c r="N52" s="1">
        <v>5</v>
      </c>
      <c r="O52" s="1" t="s">
        <v>258</v>
      </c>
      <c r="P52" s="1" t="s">
        <v>369</v>
      </c>
      <c r="Q52" s="1" t="s">
        <v>370</v>
      </c>
      <c r="R52" s="1">
        <v>80</v>
      </c>
      <c r="S52" s="1">
        <v>56</v>
      </c>
      <c r="T52" s="1" t="s">
        <v>252</v>
      </c>
    </row>
    <row r="53" spans="1:20" x14ac:dyDescent="0.3">
      <c r="A53" s="1" t="s">
        <v>371</v>
      </c>
      <c r="B53" s="1" t="s">
        <v>372</v>
      </c>
      <c r="C53" s="1" t="s">
        <v>46</v>
      </c>
      <c r="D53" s="1" t="s">
        <v>59</v>
      </c>
      <c r="E53" s="1" t="s">
        <v>175</v>
      </c>
      <c r="F53" s="1" t="s">
        <v>61</v>
      </c>
      <c r="G53" s="1">
        <v>40</v>
      </c>
      <c r="H53" s="1" t="s">
        <v>218</v>
      </c>
      <c r="I53" s="1" t="s">
        <v>51</v>
      </c>
      <c r="J53" s="1" t="s">
        <v>373</v>
      </c>
      <c r="K53" s="1">
        <v>15.1</v>
      </c>
      <c r="L53" s="1">
        <v>470324</v>
      </c>
      <c r="M53" s="1">
        <v>1.74</v>
      </c>
      <c r="N53" s="1">
        <v>4</v>
      </c>
      <c r="O53" s="1" t="s">
        <v>29</v>
      </c>
      <c r="P53" s="1" t="s">
        <v>374</v>
      </c>
      <c r="Q53" s="1" t="s">
        <v>375</v>
      </c>
      <c r="R53" s="1">
        <v>60</v>
      </c>
      <c r="S53" s="1">
        <v>47</v>
      </c>
      <c r="T53" s="1"/>
    </row>
    <row r="54" spans="1:20" x14ac:dyDescent="0.3">
      <c r="A54" s="1" t="s">
        <v>376</v>
      </c>
      <c r="B54" s="1" t="s">
        <v>377</v>
      </c>
      <c r="C54" s="1" t="s">
        <v>197</v>
      </c>
      <c r="D54" s="1" t="s">
        <v>101</v>
      </c>
      <c r="E54" s="1" t="s">
        <v>290</v>
      </c>
      <c r="F54" s="1" t="s">
        <v>25</v>
      </c>
      <c r="G54" s="1">
        <v>41</v>
      </c>
      <c r="H54" s="1" t="s">
        <v>50</v>
      </c>
      <c r="I54" s="1" t="s">
        <v>74</v>
      </c>
      <c r="J54" s="1" t="s">
        <v>378</v>
      </c>
      <c r="K54" s="1">
        <v>0.6</v>
      </c>
      <c r="L54" s="1">
        <v>2039447</v>
      </c>
      <c r="M54" s="1">
        <v>24.82</v>
      </c>
      <c r="N54" s="1">
        <v>3</v>
      </c>
      <c r="O54" s="1" t="s">
        <v>64</v>
      </c>
      <c r="P54" s="1" t="s">
        <v>379</v>
      </c>
      <c r="Q54" s="1" t="s">
        <v>380</v>
      </c>
      <c r="R54" s="1">
        <v>50</v>
      </c>
      <c r="S54" s="1">
        <v>82</v>
      </c>
      <c r="T54" s="1" t="s">
        <v>381</v>
      </c>
    </row>
    <row r="55" spans="1:20" x14ac:dyDescent="0.3">
      <c r="A55" s="1" t="s">
        <v>382</v>
      </c>
      <c r="B55" s="1" t="s">
        <v>383</v>
      </c>
      <c r="C55" s="1" t="s">
        <v>132</v>
      </c>
      <c r="D55" s="1" t="s">
        <v>47</v>
      </c>
      <c r="E55" s="1" t="s">
        <v>24</v>
      </c>
      <c r="F55" s="1" t="s">
        <v>37</v>
      </c>
      <c r="G55" s="1">
        <v>53</v>
      </c>
      <c r="H55" s="1" t="s">
        <v>204</v>
      </c>
      <c r="I55" s="1" t="s">
        <v>51</v>
      </c>
      <c r="J55" s="1" t="s">
        <v>384</v>
      </c>
      <c r="K55" s="1">
        <v>25.8</v>
      </c>
      <c r="L55" s="1">
        <v>1905144</v>
      </c>
      <c r="M55" s="1">
        <v>14.01</v>
      </c>
      <c r="N55" s="1">
        <v>3</v>
      </c>
      <c r="O55" s="1" t="s">
        <v>41</v>
      </c>
      <c r="P55" s="1" t="s">
        <v>385</v>
      </c>
      <c r="Q55" s="1" t="s">
        <v>386</v>
      </c>
      <c r="R55" s="1">
        <v>68</v>
      </c>
      <c r="S55" s="1">
        <v>79</v>
      </c>
      <c r="T55" s="1" t="s">
        <v>172</v>
      </c>
    </row>
    <row r="56" spans="1:20" x14ac:dyDescent="0.3">
      <c r="A56" s="1" t="s">
        <v>387</v>
      </c>
      <c r="B56" s="1" t="s">
        <v>388</v>
      </c>
      <c r="C56" s="1" t="s">
        <v>58</v>
      </c>
      <c r="D56" s="1" t="s">
        <v>182</v>
      </c>
      <c r="E56" s="1" t="s">
        <v>24</v>
      </c>
      <c r="F56" s="1" t="s">
        <v>49</v>
      </c>
      <c r="G56" s="1">
        <v>26</v>
      </c>
      <c r="H56" s="1" t="s">
        <v>103</v>
      </c>
      <c r="I56" s="1" t="s">
        <v>51</v>
      </c>
      <c r="J56" s="1" t="s">
        <v>389</v>
      </c>
      <c r="K56" s="1">
        <v>22.4</v>
      </c>
      <c r="L56" s="1">
        <v>1638251</v>
      </c>
      <c r="M56" s="1">
        <v>10.24</v>
      </c>
      <c r="N56" s="1">
        <v>4</v>
      </c>
      <c r="O56" s="1" t="s">
        <v>41</v>
      </c>
      <c r="P56" s="1" t="s">
        <v>390</v>
      </c>
      <c r="Q56" s="1" t="s">
        <v>391</v>
      </c>
      <c r="R56" s="1">
        <v>41</v>
      </c>
      <c r="S56" s="1">
        <v>108</v>
      </c>
      <c r="T56" s="1" t="s">
        <v>159</v>
      </c>
    </row>
    <row r="57" spans="1:20" x14ac:dyDescent="0.3">
      <c r="A57" s="1" t="s">
        <v>392</v>
      </c>
      <c r="B57" s="1" t="s">
        <v>393</v>
      </c>
      <c r="C57" s="1" t="s">
        <v>132</v>
      </c>
      <c r="D57" s="1" t="s">
        <v>70</v>
      </c>
      <c r="E57" s="1" t="s">
        <v>24</v>
      </c>
      <c r="F57" s="1" t="s">
        <v>133</v>
      </c>
      <c r="G57" s="1">
        <v>37</v>
      </c>
      <c r="H57" s="1" t="s">
        <v>62</v>
      </c>
      <c r="I57" s="1" t="s">
        <v>85</v>
      </c>
      <c r="J57" s="1" t="s">
        <v>394</v>
      </c>
      <c r="K57" s="1">
        <v>1.9</v>
      </c>
      <c r="L57" s="1">
        <v>1506443</v>
      </c>
      <c r="M57" s="1">
        <v>22.79</v>
      </c>
      <c r="N57" s="1" t="s">
        <v>220</v>
      </c>
      <c r="O57" s="1" t="s">
        <v>41</v>
      </c>
      <c r="P57" s="1" t="s">
        <v>395</v>
      </c>
      <c r="Q57" s="1" t="s">
        <v>396</v>
      </c>
      <c r="R57" s="1">
        <v>47</v>
      </c>
      <c r="S57" s="1">
        <v>69</v>
      </c>
      <c r="T57" s="1" t="s">
        <v>397</v>
      </c>
    </row>
    <row r="58" spans="1:20" x14ac:dyDescent="0.3">
      <c r="A58" s="1" t="s">
        <v>398</v>
      </c>
      <c r="B58" s="1" t="s">
        <v>399</v>
      </c>
      <c r="C58" s="1" t="s">
        <v>255</v>
      </c>
      <c r="D58" s="1" t="s">
        <v>327</v>
      </c>
      <c r="E58" s="1" t="s">
        <v>290</v>
      </c>
      <c r="F58" s="1" t="s">
        <v>133</v>
      </c>
      <c r="G58" s="1">
        <v>31</v>
      </c>
      <c r="H58" s="1" t="s">
        <v>26</v>
      </c>
      <c r="I58" s="1" t="s">
        <v>27</v>
      </c>
      <c r="J58" s="1" t="s">
        <v>400</v>
      </c>
      <c r="K58" s="1">
        <v>22.4</v>
      </c>
      <c r="L58" s="1">
        <v>2421662</v>
      </c>
      <c r="M58" s="1">
        <v>20.38</v>
      </c>
      <c r="N58" s="1">
        <v>5</v>
      </c>
      <c r="O58" s="1" t="s">
        <v>41</v>
      </c>
      <c r="P58" s="1" t="s">
        <v>401</v>
      </c>
      <c r="Q58" s="1" t="s">
        <v>402</v>
      </c>
      <c r="R58" s="1">
        <v>60</v>
      </c>
      <c r="S58" s="1">
        <v>42</v>
      </c>
      <c r="T58" s="1" t="s">
        <v>403</v>
      </c>
    </row>
    <row r="59" spans="1:20" x14ac:dyDescent="0.3">
      <c r="A59" s="1" t="s">
        <v>79</v>
      </c>
      <c r="B59" s="1" t="s">
        <v>404</v>
      </c>
      <c r="C59" s="1" t="s">
        <v>35</v>
      </c>
      <c r="D59" s="1" t="s">
        <v>70</v>
      </c>
      <c r="E59" s="1" t="s">
        <v>92</v>
      </c>
      <c r="F59" s="1" t="s">
        <v>61</v>
      </c>
      <c r="G59" s="1">
        <v>29</v>
      </c>
      <c r="H59" s="1" t="s">
        <v>204</v>
      </c>
      <c r="I59" s="1" t="s">
        <v>74</v>
      </c>
      <c r="J59" s="1" t="s">
        <v>405</v>
      </c>
      <c r="K59" s="1">
        <v>7</v>
      </c>
      <c r="L59" s="1">
        <v>1537477</v>
      </c>
      <c r="M59" s="1">
        <v>19.05</v>
      </c>
      <c r="N59" s="1">
        <v>5</v>
      </c>
      <c r="O59" s="1" t="s">
        <v>64</v>
      </c>
      <c r="P59" s="1" t="s">
        <v>406</v>
      </c>
      <c r="Q59" s="1" t="s">
        <v>407</v>
      </c>
      <c r="R59" s="1">
        <v>76</v>
      </c>
      <c r="S59" s="1">
        <v>10</v>
      </c>
      <c r="T59" s="1" t="s">
        <v>408</v>
      </c>
    </row>
    <row r="60" spans="1:20" x14ac:dyDescent="0.3">
      <c r="A60" s="1" t="s">
        <v>409</v>
      </c>
      <c r="B60" s="1" t="s">
        <v>410</v>
      </c>
      <c r="C60" s="1" t="s">
        <v>197</v>
      </c>
      <c r="D60" s="1" t="s">
        <v>23</v>
      </c>
      <c r="E60" s="1" t="s">
        <v>71</v>
      </c>
      <c r="F60" s="1" t="s">
        <v>49</v>
      </c>
      <c r="G60" s="1">
        <v>40</v>
      </c>
      <c r="H60" s="1" t="s">
        <v>84</v>
      </c>
      <c r="I60" s="1" t="s">
        <v>74</v>
      </c>
      <c r="J60" s="1" t="s">
        <v>411</v>
      </c>
      <c r="K60" s="1">
        <v>23.1</v>
      </c>
      <c r="L60" s="1">
        <v>622234</v>
      </c>
      <c r="M60" s="1">
        <v>13.36</v>
      </c>
      <c r="N60" s="1">
        <v>3</v>
      </c>
      <c r="O60" s="1" t="s">
        <v>41</v>
      </c>
      <c r="P60" s="1" t="s">
        <v>412</v>
      </c>
      <c r="Q60" s="1" t="s">
        <v>413</v>
      </c>
      <c r="R60" s="1"/>
      <c r="S60" s="1">
        <v>66</v>
      </c>
      <c r="T60" s="1" t="s">
        <v>241</v>
      </c>
    </row>
    <row r="61" spans="1:20" x14ac:dyDescent="0.3">
      <c r="A61" s="1" t="s">
        <v>414</v>
      </c>
      <c r="B61" s="1" t="s">
        <v>415</v>
      </c>
      <c r="C61" s="1" t="s">
        <v>69</v>
      </c>
      <c r="D61" s="1" t="s">
        <v>182</v>
      </c>
      <c r="E61" s="1" t="s">
        <v>60</v>
      </c>
      <c r="F61" s="1" t="s">
        <v>190</v>
      </c>
      <c r="G61" s="1">
        <v>45</v>
      </c>
      <c r="H61" s="1" t="s">
        <v>142</v>
      </c>
      <c r="I61" s="1" t="s">
        <v>85</v>
      </c>
      <c r="J61" s="1" t="s">
        <v>416</v>
      </c>
      <c r="K61" s="1">
        <v>10.9</v>
      </c>
      <c r="L61" s="1">
        <v>351131</v>
      </c>
      <c r="M61" s="1">
        <v>10.6</v>
      </c>
      <c r="N61" s="1">
        <v>4</v>
      </c>
      <c r="O61" s="1" t="s">
        <v>29</v>
      </c>
      <c r="P61" s="1" t="s">
        <v>417</v>
      </c>
      <c r="Q61" s="1" t="s">
        <v>418</v>
      </c>
      <c r="R61" s="1">
        <v>17</v>
      </c>
      <c r="S61" s="1">
        <v>76</v>
      </c>
      <c r="T61" s="1" t="s">
        <v>419</v>
      </c>
    </row>
    <row r="62" spans="1:20" x14ac:dyDescent="0.3">
      <c r="A62" s="1" t="s">
        <v>420</v>
      </c>
      <c r="B62" s="1" t="s">
        <v>421</v>
      </c>
      <c r="C62" s="1" t="s">
        <v>197</v>
      </c>
      <c r="D62" s="1" t="s">
        <v>231</v>
      </c>
      <c r="E62" s="1" t="s">
        <v>71</v>
      </c>
      <c r="F62" s="1" t="s">
        <v>93</v>
      </c>
      <c r="G62" s="1">
        <v>54</v>
      </c>
      <c r="H62" s="1" t="s">
        <v>84</v>
      </c>
      <c r="I62" s="1" t="s">
        <v>74</v>
      </c>
      <c r="J62" s="1" t="s">
        <v>422</v>
      </c>
      <c r="K62" s="1">
        <v>20.3</v>
      </c>
      <c r="L62" s="1">
        <v>1568807</v>
      </c>
      <c r="M62" s="1">
        <v>17.760000000000002</v>
      </c>
      <c r="N62" s="1">
        <v>5</v>
      </c>
      <c r="O62" s="1" t="s">
        <v>258</v>
      </c>
      <c r="P62" s="1" t="s">
        <v>423</v>
      </c>
      <c r="Q62" s="1" t="s">
        <v>424</v>
      </c>
      <c r="R62" s="1">
        <v>33</v>
      </c>
      <c r="S62" s="1">
        <v>5</v>
      </c>
      <c r="T62" s="1" t="s">
        <v>425</v>
      </c>
    </row>
    <row r="63" spans="1:20" x14ac:dyDescent="0.3">
      <c r="A63" s="1" t="s">
        <v>426</v>
      </c>
      <c r="B63" s="1" t="s">
        <v>427</v>
      </c>
      <c r="C63" s="1" t="s">
        <v>197</v>
      </c>
      <c r="D63" s="1" t="s">
        <v>83</v>
      </c>
      <c r="E63" s="1" t="s">
        <v>24</v>
      </c>
      <c r="F63" s="1" t="s">
        <v>25</v>
      </c>
      <c r="G63" s="1">
        <v>53</v>
      </c>
      <c r="H63" s="1" t="s">
        <v>26</v>
      </c>
      <c r="I63" s="1" t="s">
        <v>198</v>
      </c>
      <c r="J63" s="1" t="s">
        <v>428</v>
      </c>
      <c r="K63" s="1">
        <v>27.2</v>
      </c>
      <c r="L63" s="1">
        <v>454333</v>
      </c>
      <c r="M63" s="1">
        <v>16.5</v>
      </c>
      <c r="N63" s="1">
        <v>3</v>
      </c>
      <c r="O63" s="1" t="s">
        <v>41</v>
      </c>
      <c r="P63" s="1" t="s">
        <v>429</v>
      </c>
      <c r="Q63" s="1" t="s">
        <v>430</v>
      </c>
      <c r="R63" s="1">
        <v>77</v>
      </c>
      <c r="S63" s="1">
        <v>8</v>
      </c>
      <c r="T63" s="1" t="s">
        <v>431</v>
      </c>
    </row>
    <row r="64" spans="1:20" x14ac:dyDescent="0.3">
      <c r="A64" s="1" t="s">
        <v>432</v>
      </c>
      <c r="B64" s="1" t="s">
        <v>433</v>
      </c>
      <c r="C64" s="1" t="s">
        <v>110</v>
      </c>
      <c r="D64" s="1" t="s">
        <v>256</v>
      </c>
      <c r="E64" s="1" t="s">
        <v>71</v>
      </c>
      <c r="F64" s="1" t="s">
        <v>72</v>
      </c>
      <c r="G64" s="1">
        <v>44</v>
      </c>
      <c r="H64" s="1" t="s">
        <v>26</v>
      </c>
      <c r="I64" s="1" t="s">
        <v>125</v>
      </c>
      <c r="J64" s="1" t="s">
        <v>434</v>
      </c>
      <c r="K64" s="1">
        <v>8.6999999999999993</v>
      </c>
      <c r="L64" s="1">
        <v>1841662</v>
      </c>
      <c r="M64" s="1">
        <v>6.69</v>
      </c>
      <c r="N64" s="1">
        <v>5</v>
      </c>
      <c r="O64" s="1" t="s">
        <v>64</v>
      </c>
      <c r="P64" s="1" t="s">
        <v>435</v>
      </c>
      <c r="Q64" s="1" t="s">
        <v>436</v>
      </c>
      <c r="R64" s="1">
        <v>39</v>
      </c>
      <c r="S64" s="1">
        <v>44</v>
      </c>
      <c r="T64" s="1" t="s">
        <v>32</v>
      </c>
    </row>
    <row r="65" spans="1:20" x14ac:dyDescent="0.3">
      <c r="A65" s="1" t="s">
        <v>437</v>
      </c>
      <c r="B65" s="1" t="s">
        <v>438</v>
      </c>
      <c r="C65" s="1" t="s">
        <v>110</v>
      </c>
      <c r="D65" s="1" t="s">
        <v>327</v>
      </c>
      <c r="E65" s="1" t="s">
        <v>155</v>
      </c>
      <c r="F65" s="1" t="s">
        <v>49</v>
      </c>
      <c r="G65" s="1">
        <v>37</v>
      </c>
      <c r="H65" s="1" t="s">
        <v>73</v>
      </c>
      <c r="I65" s="1" t="s">
        <v>85</v>
      </c>
      <c r="J65" s="1" t="s">
        <v>439</v>
      </c>
      <c r="K65" s="1">
        <v>9.1999999999999993</v>
      </c>
      <c r="L65" s="1">
        <v>1093151</v>
      </c>
      <c r="M65" s="1">
        <v>19.77</v>
      </c>
      <c r="N65" s="1">
        <v>3</v>
      </c>
      <c r="O65" s="1" t="s">
        <v>135</v>
      </c>
      <c r="P65" s="1" t="s">
        <v>440</v>
      </c>
      <c r="Q65" s="1" t="s">
        <v>441</v>
      </c>
      <c r="R65" s="1">
        <v>21</v>
      </c>
      <c r="S65" s="1">
        <v>96</v>
      </c>
      <c r="T65" s="1" t="s">
        <v>152</v>
      </c>
    </row>
    <row r="66" spans="1:20" x14ac:dyDescent="0.3">
      <c r="A66" s="1" t="s">
        <v>442</v>
      </c>
      <c r="B66" s="1" t="s">
        <v>443</v>
      </c>
      <c r="C66" s="1" t="s">
        <v>124</v>
      </c>
      <c r="D66" s="1" t="s">
        <v>111</v>
      </c>
      <c r="E66" s="1" t="s">
        <v>175</v>
      </c>
      <c r="F66" s="1" t="s">
        <v>25</v>
      </c>
      <c r="G66" s="1">
        <v>58</v>
      </c>
      <c r="H66" s="1" t="s">
        <v>50</v>
      </c>
      <c r="I66" s="1" t="s">
        <v>39</v>
      </c>
      <c r="J66" s="1" t="s">
        <v>444</v>
      </c>
      <c r="K66" s="1">
        <v>12.2</v>
      </c>
      <c r="L66" s="1">
        <v>942965</v>
      </c>
      <c r="M66" s="1">
        <v>19.239999999999998</v>
      </c>
      <c r="N66" s="1">
        <v>3</v>
      </c>
      <c r="O66" s="1" t="s">
        <v>76</v>
      </c>
      <c r="P66" s="1" t="s">
        <v>445</v>
      </c>
      <c r="Q66" s="1" t="s">
        <v>446</v>
      </c>
      <c r="R66" s="1">
        <v>36</v>
      </c>
      <c r="S66" s="1">
        <v>25</v>
      </c>
      <c r="T66" s="1"/>
    </row>
    <row r="67" spans="1:20" x14ac:dyDescent="0.3">
      <c r="A67" s="1" t="s">
        <v>447</v>
      </c>
      <c r="B67" s="1" t="s">
        <v>448</v>
      </c>
      <c r="C67" s="1" t="s">
        <v>100</v>
      </c>
      <c r="D67" s="1" t="s">
        <v>141</v>
      </c>
      <c r="E67" s="1" t="s">
        <v>189</v>
      </c>
      <c r="F67" s="1" t="s">
        <v>190</v>
      </c>
      <c r="G67" s="1">
        <v>36</v>
      </c>
      <c r="H67" s="1" t="s">
        <v>26</v>
      </c>
      <c r="I67" s="1" t="s">
        <v>27</v>
      </c>
      <c r="J67" s="1" t="s">
        <v>449</v>
      </c>
      <c r="K67" s="1">
        <v>11.4</v>
      </c>
      <c r="L67" s="1">
        <v>1467935</v>
      </c>
      <c r="M67" s="1">
        <v>23.98</v>
      </c>
      <c r="N67" s="1">
        <v>4</v>
      </c>
      <c r="O67" s="1" t="s">
        <v>41</v>
      </c>
      <c r="P67" s="1" t="s">
        <v>450</v>
      </c>
      <c r="Q67" s="1" t="s">
        <v>451</v>
      </c>
      <c r="R67" s="1">
        <v>80</v>
      </c>
      <c r="S67" s="1">
        <v>86</v>
      </c>
      <c r="T67" s="1" t="s">
        <v>213</v>
      </c>
    </row>
    <row r="68" spans="1:20" x14ac:dyDescent="0.3">
      <c r="A68" s="1" t="s">
        <v>452</v>
      </c>
      <c r="B68" s="1" t="s">
        <v>453</v>
      </c>
      <c r="C68" s="1" t="s">
        <v>35</v>
      </c>
      <c r="D68" s="1" t="s">
        <v>256</v>
      </c>
      <c r="E68" s="1" t="s">
        <v>102</v>
      </c>
      <c r="F68" s="1" t="s">
        <v>190</v>
      </c>
      <c r="G68" s="1">
        <v>32</v>
      </c>
      <c r="H68" s="1" t="s">
        <v>62</v>
      </c>
      <c r="I68" s="1" t="s">
        <v>51</v>
      </c>
      <c r="J68" s="1" t="s">
        <v>454</v>
      </c>
      <c r="K68" s="1">
        <v>27.1</v>
      </c>
      <c r="L68" s="1">
        <v>2158127</v>
      </c>
      <c r="M68" s="1">
        <v>19.14</v>
      </c>
      <c r="N68" s="1">
        <v>3</v>
      </c>
      <c r="O68" s="1" t="s">
        <v>41</v>
      </c>
      <c r="P68" s="1" t="s">
        <v>455</v>
      </c>
      <c r="Q68" s="1" t="s">
        <v>456</v>
      </c>
      <c r="R68" s="1">
        <v>32</v>
      </c>
      <c r="S68" s="1">
        <v>57</v>
      </c>
      <c r="T68" s="1" t="s">
        <v>457</v>
      </c>
    </row>
    <row r="69" spans="1:20" x14ac:dyDescent="0.3">
      <c r="A69" s="1" t="s">
        <v>458</v>
      </c>
      <c r="B69" s="1" t="s">
        <v>459</v>
      </c>
      <c r="C69" s="1" t="s">
        <v>22</v>
      </c>
      <c r="D69" s="1" t="s">
        <v>256</v>
      </c>
      <c r="E69" s="1" t="s">
        <v>92</v>
      </c>
      <c r="F69" s="1" t="s">
        <v>25</v>
      </c>
      <c r="G69" s="1">
        <v>24</v>
      </c>
      <c r="H69" s="1" t="s">
        <v>204</v>
      </c>
      <c r="I69" s="1" t="s">
        <v>27</v>
      </c>
      <c r="J69" s="1" t="s">
        <v>460</v>
      </c>
      <c r="K69" s="1">
        <v>12.2</v>
      </c>
      <c r="L69" s="1">
        <v>2068892</v>
      </c>
      <c r="M69" s="1">
        <v>9.6</v>
      </c>
      <c r="N69" s="1">
        <v>2</v>
      </c>
      <c r="O69" s="1" t="s">
        <v>29</v>
      </c>
      <c r="P69" s="1" t="s">
        <v>461</v>
      </c>
      <c r="Q69" s="1" t="s">
        <v>462</v>
      </c>
      <c r="R69" s="1">
        <v>62</v>
      </c>
      <c r="S69" s="1">
        <v>85</v>
      </c>
      <c r="T69" s="1" t="s">
        <v>159</v>
      </c>
    </row>
    <row r="70" spans="1:20" x14ac:dyDescent="0.3">
      <c r="A70" s="1" t="s">
        <v>463</v>
      </c>
      <c r="B70" s="1" t="s">
        <v>464</v>
      </c>
      <c r="C70" s="1" t="s">
        <v>22</v>
      </c>
      <c r="D70" s="1" t="s">
        <v>231</v>
      </c>
      <c r="E70" s="1" t="s">
        <v>92</v>
      </c>
      <c r="F70" s="1" t="s">
        <v>49</v>
      </c>
      <c r="G70" s="1">
        <v>44</v>
      </c>
      <c r="H70" s="1" t="s">
        <v>84</v>
      </c>
      <c r="I70" s="1" t="s">
        <v>39</v>
      </c>
      <c r="J70" s="1" t="s">
        <v>465</v>
      </c>
      <c r="K70" s="1">
        <v>29.2</v>
      </c>
      <c r="L70" s="1">
        <v>1473104</v>
      </c>
      <c r="M70" s="1">
        <v>11.05</v>
      </c>
      <c r="N70" s="1">
        <v>3</v>
      </c>
      <c r="O70" s="1" t="s">
        <v>41</v>
      </c>
      <c r="P70" s="1" t="s">
        <v>466</v>
      </c>
      <c r="Q70" s="1" t="s">
        <v>467</v>
      </c>
      <c r="R70" s="1">
        <v>26</v>
      </c>
      <c r="S70" s="1">
        <v>103</v>
      </c>
      <c r="T70" s="1" t="s">
        <v>468</v>
      </c>
    </row>
    <row r="71" spans="1:20" x14ac:dyDescent="0.3">
      <c r="A71" s="1" t="s">
        <v>469</v>
      </c>
      <c r="B71" s="1" t="s">
        <v>470</v>
      </c>
      <c r="C71" s="1" t="s">
        <v>46</v>
      </c>
      <c r="D71" s="1" t="s">
        <v>256</v>
      </c>
      <c r="E71" s="1" t="s">
        <v>168</v>
      </c>
      <c r="F71" s="1" t="s">
        <v>37</v>
      </c>
      <c r="G71" s="1">
        <v>24</v>
      </c>
      <c r="H71" s="1" t="s">
        <v>103</v>
      </c>
      <c r="I71" s="1" t="s">
        <v>74</v>
      </c>
      <c r="J71" s="1" t="s">
        <v>471</v>
      </c>
      <c r="K71" s="1">
        <v>2.1</v>
      </c>
      <c r="L71" s="1">
        <v>1900320</v>
      </c>
      <c r="M71" s="1">
        <v>15.8</v>
      </c>
      <c r="N71" s="1">
        <v>2</v>
      </c>
      <c r="O71" s="1" t="s">
        <v>41</v>
      </c>
      <c r="P71" s="1" t="s">
        <v>472</v>
      </c>
      <c r="Q71" s="1" t="s">
        <v>473</v>
      </c>
      <c r="R71" s="1">
        <v>67</v>
      </c>
      <c r="S71" s="1">
        <v>69</v>
      </c>
      <c r="T71" s="1" t="s">
        <v>354</v>
      </c>
    </row>
    <row r="72" spans="1:20" x14ac:dyDescent="0.3">
      <c r="A72" s="1" t="s">
        <v>474</v>
      </c>
      <c r="B72" s="1" t="s">
        <v>475</v>
      </c>
      <c r="C72" s="1" t="s">
        <v>82</v>
      </c>
      <c r="D72" s="1" t="s">
        <v>111</v>
      </c>
      <c r="E72" s="1" t="s">
        <v>102</v>
      </c>
      <c r="F72" s="1" t="s">
        <v>49</v>
      </c>
      <c r="G72" s="1">
        <v>33</v>
      </c>
      <c r="H72" s="1" t="s">
        <v>62</v>
      </c>
      <c r="I72" s="1" t="s">
        <v>198</v>
      </c>
      <c r="J72" s="1" t="s">
        <v>476</v>
      </c>
      <c r="K72" s="1"/>
      <c r="L72" s="1">
        <v>1038522</v>
      </c>
      <c r="M72" s="1">
        <v>16.52</v>
      </c>
      <c r="N72" s="1">
        <v>2</v>
      </c>
      <c r="O72" s="1" t="s">
        <v>41</v>
      </c>
      <c r="P72" s="1" t="s">
        <v>477</v>
      </c>
      <c r="Q72" s="1" t="s">
        <v>478</v>
      </c>
      <c r="R72" s="1">
        <v>79</v>
      </c>
      <c r="S72" s="1">
        <v>112</v>
      </c>
      <c r="T72" s="1" t="s">
        <v>479</v>
      </c>
    </row>
    <row r="73" spans="1:20" x14ac:dyDescent="0.3">
      <c r="A73" s="1" t="s">
        <v>480</v>
      </c>
      <c r="B73" s="1" t="s">
        <v>350</v>
      </c>
      <c r="C73" s="1" t="s">
        <v>69</v>
      </c>
      <c r="D73" s="1" t="s">
        <v>217</v>
      </c>
      <c r="E73" s="1" t="s">
        <v>36</v>
      </c>
      <c r="F73" s="1" t="s">
        <v>133</v>
      </c>
      <c r="G73" s="1">
        <v>24</v>
      </c>
      <c r="H73" s="1" t="s">
        <v>26</v>
      </c>
      <c r="I73" s="1" t="s">
        <v>51</v>
      </c>
      <c r="J73" s="1" t="s">
        <v>481</v>
      </c>
      <c r="K73" s="1">
        <v>15.5</v>
      </c>
      <c r="L73" s="1">
        <v>714565</v>
      </c>
      <c r="M73" s="1">
        <v>23.41</v>
      </c>
      <c r="N73" s="1">
        <v>1</v>
      </c>
      <c r="O73" s="1" t="s">
        <v>64</v>
      </c>
      <c r="P73" s="1" t="s">
        <v>482</v>
      </c>
      <c r="Q73" s="1" t="s">
        <v>483</v>
      </c>
      <c r="R73" s="1">
        <v>29</v>
      </c>
      <c r="S73" s="1">
        <v>58</v>
      </c>
      <c r="T73" s="1"/>
    </row>
    <row r="74" spans="1:20" x14ac:dyDescent="0.3">
      <c r="A74" s="1" t="s">
        <v>484</v>
      </c>
      <c r="B74" s="1" t="s">
        <v>485</v>
      </c>
      <c r="C74" s="1" t="s">
        <v>35</v>
      </c>
      <c r="D74" s="1" t="s">
        <v>182</v>
      </c>
      <c r="E74" s="1" t="s">
        <v>102</v>
      </c>
      <c r="F74" s="1" t="s">
        <v>37</v>
      </c>
      <c r="G74" s="1">
        <v>53</v>
      </c>
      <c r="H74" s="1" t="s">
        <v>26</v>
      </c>
      <c r="I74" s="1" t="s">
        <v>27</v>
      </c>
      <c r="J74" s="1" t="s">
        <v>486</v>
      </c>
      <c r="K74" s="1">
        <v>24.3</v>
      </c>
      <c r="L74" s="1">
        <v>1924469</v>
      </c>
      <c r="M74" s="1">
        <v>23.7</v>
      </c>
      <c r="N74" s="1">
        <v>4</v>
      </c>
      <c r="O74" s="1" t="s">
        <v>135</v>
      </c>
      <c r="P74" s="1" t="s">
        <v>487</v>
      </c>
      <c r="Q74" s="1" t="s">
        <v>488</v>
      </c>
      <c r="R74" s="1">
        <v>21</v>
      </c>
      <c r="S74" s="1">
        <v>94</v>
      </c>
      <c r="T74" s="1" t="s">
        <v>309</v>
      </c>
    </row>
    <row r="75" spans="1:20" x14ac:dyDescent="0.3">
      <c r="A75" s="1" t="s">
        <v>489</v>
      </c>
      <c r="B75" s="1" t="s">
        <v>490</v>
      </c>
      <c r="C75" s="1" t="s">
        <v>58</v>
      </c>
      <c r="D75" s="1" t="s">
        <v>101</v>
      </c>
      <c r="E75" s="1" t="s">
        <v>102</v>
      </c>
      <c r="F75" s="1" t="s">
        <v>37</v>
      </c>
      <c r="G75" s="1">
        <v>50</v>
      </c>
      <c r="H75" s="1" t="s">
        <v>38</v>
      </c>
      <c r="I75" s="1" t="s">
        <v>125</v>
      </c>
      <c r="J75" s="1" t="s">
        <v>491</v>
      </c>
      <c r="K75" s="1">
        <v>11.8</v>
      </c>
      <c r="L75" s="1">
        <v>657801</v>
      </c>
      <c r="M75" s="1">
        <v>4.05</v>
      </c>
      <c r="N75" s="1">
        <v>3</v>
      </c>
      <c r="O75" s="1" t="s">
        <v>41</v>
      </c>
      <c r="P75" s="1" t="s">
        <v>492</v>
      </c>
      <c r="Q75" s="1" t="s">
        <v>493</v>
      </c>
      <c r="R75" s="1">
        <v>6</v>
      </c>
      <c r="S75" s="1">
        <v>39</v>
      </c>
      <c r="T75" s="1" t="s">
        <v>494</v>
      </c>
    </row>
    <row r="76" spans="1:20" x14ac:dyDescent="0.3">
      <c r="A76" s="1" t="s">
        <v>495</v>
      </c>
      <c r="B76" s="1" t="s">
        <v>496</v>
      </c>
      <c r="C76" s="1" t="s">
        <v>255</v>
      </c>
      <c r="D76" s="1" t="s">
        <v>256</v>
      </c>
      <c r="E76" s="1" t="s">
        <v>175</v>
      </c>
      <c r="F76" s="1" t="s">
        <v>72</v>
      </c>
      <c r="G76" s="1">
        <v>48</v>
      </c>
      <c r="H76" s="1" t="s">
        <v>84</v>
      </c>
      <c r="I76" s="1" t="s">
        <v>51</v>
      </c>
      <c r="J76" s="1" t="s">
        <v>497</v>
      </c>
      <c r="K76" s="1">
        <v>29.3</v>
      </c>
      <c r="L76" s="1">
        <v>2273392</v>
      </c>
      <c r="M76" s="1">
        <v>15.91</v>
      </c>
      <c r="N76" s="1">
        <v>4</v>
      </c>
      <c r="O76" s="1" t="s">
        <v>76</v>
      </c>
      <c r="P76" s="1" t="s">
        <v>498</v>
      </c>
      <c r="Q76" s="1" t="s">
        <v>499</v>
      </c>
      <c r="R76" s="1">
        <v>44</v>
      </c>
      <c r="S76" s="1">
        <v>118</v>
      </c>
      <c r="T76" s="1" t="s">
        <v>235</v>
      </c>
    </row>
    <row r="77" spans="1:20" x14ac:dyDescent="0.3">
      <c r="A77" s="1" t="s">
        <v>500</v>
      </c>
      <c r="B77" s="1" t="s">
        <v>501</v>
      </c>
      <c r="C77" s="1" t="s">
        <v>46</v>
      </c>
      <c r="D77" s="1" t="s">
        <v>111</v>
      </c>
      <c r="E77" s="1" t="s">
        <v>102</v>
      </c>
      <c r="F77" s="1" t="s">
        <v>61</v>
      </c>
      <c r="G77" s="1">
        <v>24</v>
      </c>
      <c r="H77" s="1" t="s">
        <v>218</v>
      </c>
      <c r="I77" s="1" t="s">
        <v>39</v>
      </c>
      <c r="J77" s="1" t="s">
        <v>502</v>
      </c>
      <c r="K77" s="1">
        <v>9.6999999999999993</v>
      </c>
      <c r="L77" s="1">
        <v>804503</v>
      </c>
      <c r="M77" s="1">
        <v>23.45</v>
      </c>
      <c r="N77" s="1">
        <v>3</v>
      </c>
      <c r="O77" s="1" t="s">
        <v>258</v>
      </c>
      <c r="P77" s="1" t="s">
        <v>503</v>
      </c>
      <c r="Q77" s="1" t="s">
        <v>504</v>
      </c>
      <c r="R77" s="1">
        <v>70</v>
      </c>
      <c r="S77" s="1">
        <v>100</v>
      </c>
      <c r="T77" s="1" t="s">
        <v>457</v>
      </c>
    </row>
    <row r="78" spans="1:20" x14ac:dyDescent="0.3">
      <c r="A78" s="1" t="s">
        <v>505</v>
      </c>
      <c r="B78" s="1" t="s">
        <v>506</v>
      </c>
      <c r="C78" s="1" t="s">
        <v>82</v>
      </c>
      <c r="D78" s="1" t="s">
        <v>111</v>
      </c>
      <c r="E78" s="1" t="s">
        <v>48</v>
      </c>
      <c r="F78" s="1" t="s">
        <v>25</v>
      </c>
      <c r="G78" s="1">
        <v>40</v>
      </c>
      <c r="H78" s="1" t="s">
        <v>38</v>
      </c>
      <c r="I78" s="1" t="s">
        <v>198</v>
      </c>
      <c r="J78" s="1" t="s">
        <v>507</v>
      </c>
      <c r="K78" s="1">
        <v>21.4</v>
      </c>
      <c r="L78" s="1">
        <v>1052632</v>
      </c>
      <c r="M78" s="1">
        <v>11.97</v>
      </c>
      <c r="N78" s="1">
        <v>3</v>
      </c>
      <c r="O78" s="1" t="s">
        <v>258</v>
      </c>
      <c r="P78" s="1" t="s">
        <v>508</v>
      </c>
      <c r="Q78" s="1" t="s">
        <v>509</v>
      </c>
      <c r="R78" s="1">
        <v>6</v>
      </c>
      <c r="S78" s="1">
        <v>110</v>
      </c>
      <c r="T78" s="1" t="s">
        <v>510</v>
      </c>
    </row>
    <row r="79" spans="1:20" x14ac:dyDescent="0.3">
      <c r="A79" s="1" t="s">
        <v>511</v>
      </c>
      <c r="B79" s="1" t="s">
        <v>512</v>
      </c>
      <c r="C79" s="1" t="s">
        <v>255</v>
      </c>
      <c r="D79" s="1" t="s">
        <v>47</v>
      </c>
      <c r="E79" s="1" t="s">
        <v>92</v>
      </c>
      <c r="F79" s="1" t="s">
        <v>25</v>
      </c>
      <c r="G79" s="1">
        <v>36</v>
      </c>
      <c r="H79" s="1" t="s">
        <v>218</v>
      </c>
      <c r="I79" s="1" t="s">
        <v>118</v>
      </c>
      <c r="J79" s="1" t="s">
        <v>513</v>
      </c>
      <c r="K79" s="1">
        <v>19.899999999999999</v>
      </c>
      <c r="L79" s="1">
        <v>916150</v>
      </c>
      <c r="M79" s="1">
        <v>24.8</v>
      </c>
      <c r="N79" s="1">
        <v>4</v>
      </c>
      <c r="O79" s="1" t="s">
        <v>76</v>
      </c>
      <c r="P79" s="1" t="s">
        <v>514</v>
      </c>
      <c r="Q79" s="1" t="s">
        <v>515</v>
      </c>
      <c r="R79" s="1">
        <v>2</v>
      </c>
      <c r="S79" s="1">
        <v>109</v>
      </c>
      <c r="T79" s="1" t="s">
        <v>516</v>
      </c>
    </row>
    <row r="80" spans="1:20" x14ac:dyDescent="0.3">
      <c r="A80" s="1" t="s">
        <v>517</v>
      </c>
      <c r="B80" s="1" t="s">
        <v>518</v>
      </c>
      <c r="C80" s="1" t="s">
        <v>82</v>
      </c>
      <c r="D80" s="1" t="s">
        <v>23</v>
      </c>
      <c r="E80" s="1" t="s">
        <v>290</v>
      </c>
      <c r="F80" s="1" t="s">
        <v>93</v>
      </c>
      <c r="G80" s="1">
        <v>22</v>
      </c>
      <c r="H80" s="1" t="s">
        <v>84</v>
      </c>
      <c r="I80" s="1" t="s">
        <v>74</v>
      </c>
      <c r="J80" s="1" t="s">
        <v>519</v>
      </c>
      <c r="K80" s="1">
        <v>6.2</v>
      </c>
      <c r="L80" s="1">
        <v>1115764</v>
      </c>
      <c r="M80" s="1">
        <v>6.64</v>
      </c>
      <c r="N80" s="1">
        <v>5</v>
      </c>
      <c r="O80" s="1" t="s">
        <v>41</v>
      </c>
      <c r="P80" s="1" t="s">
        <v>520</v>
      </c>
      <c r="Q80" s="1" t="s">
        <v>521</v>
      </c>
      <c r="R80" s="1">
        <v>8</v>
      </c>
      <c r="S80" s="1">
        <v>117</v>
      </c>
      <c r="T80" s="1" t="s">
        <v>522</v>
      </c>
    </row>
    <row r="81" spans="1:20" x14ac:dyDescent="0.3">
      <c r="A81" s="1" t="s">
        <v>523</v>
      </c>
      <c r="B81" s="1" t="s">
        <v>524</v>
      </c>
      <c r="C81" s="1" t="s">
        <v>216</v>
      </c>
      <c r="D81" s="1" t="s">
        <v>256</v>
      </c>
      <c r="E81" s="1" t="s">
        <v>102</v>
      </c>
      <c r="F81" s="1" t="s">
        <v>61</v>
      </c>
      <c r="G81" s="1">
        <v>34</v>
      </c>
      <c r="H81" s="1" t="s">
        <v>26</v>
      </c>
      <c r="I81" s="1" t="s">
        <v>74</v>
      </c>
      <c r="J81" s="1" t="s">
        <v>525</v>
      </c>
      <c r="K81" s="1">
        <v>28</v>
      </c>
      <c r="L81" s="1">
        <v>528121</v>
      </c>
      <c r="M81" s="1">
        <v>16.78</v>
      </c>
      <c r="N81" s="1">
        <v>2</v>
      </c>
      <c r="O81" s="1" t="s">
        <v>41</v>
      </c>
      <c r="P81" s="1" t="s">
        <v>526</v>
      </c>
      <c r="Q81" s="1" t="s">
        <v>527</v>
      </c>
      <c r="R81" s="1">
        <v>36</v>
      </c>
      <c r="S81" s="1">
        <v>115</v>
      </c>
      <c r="T81" s="1" t="s">
        <v>235</v>
      </c>
    </row>
    <row r="82" spans="1:20" x14ac:dyDescent="0.3">
      <c r="A82" s="1" t="s">
        <v>528</v>
      </c>
      <c r="B82" s="1" t="s">
        <v>529</v>
      </c>
      <c r="C82" s="1" t="s">
        <v>69</v>
      </c>
      <c r="D82" s="1" t="s">
        <v>217</v>
      </c>
      <c r="E82" s="1" t="s">
        <v>71</v>
      </c>
      <c r="F82" s="1" t="s">
        <v>25</v>
      </c>
      <c r="G82" s="1">
        <v>47</v>
      </c>
      <c r="H82" s="1" t="s">
        <v>26</v>
      </c>
      <c r="I82" s="1" t="s">
        <v>198</v>
      </c>
      <c r="J82" s="1" t="s">
        <v>530</v>
      </c>
      <c r="K82" s="1">
        <v>23.9</v>
      </c>
      <c r="L82" s="1">
        <v>528879</v>
      </c>
      <c r="M82" s="1">
        <v>20.97</v>
      </c>
      <c r="N82" s="1">
        <v>5</v>
      </c>
      <c r="O82" s="1" t="s">
        <v>76</v>
      </c>
      <c r="P82" s="1" t="s">
        <v>531</v>
      </c>
      <c r="Q82" s="1" t="s">
        <v>532</v>
      </c>
      <c r="R82" s="1">
        <v>69</v>
      </c>
      <c r="S82" s="1">
        <v>97</v>
      </c>
      <c r="T82" s="1" t="s">
        <v>66</v>
      </c>
    </row>
    <row r="83" spans="1:20" x14ac:dyDescent="0.3">
      <c r="A83" s="1" t="s">
        <v>533</v>
      </c>
      <c r="B83" s="1" t="s">
        <v>534</v>
      </c>
      <c r="C83" s="1" t="s">
        <v>132</v>
      </c>
      <c r="D83" s="1" t="s">
        <v>327</v>
      </c>
      <c r="E83" s="1" t="s">
        <v>24</v>
      </c>
      <c r="F83" s="1" t="s">
        <v>133</v>
      </c>
      <c r="G83" s="1">
        <v>24</v>
      </c>
      <c r="H83" s="1" t="s">
        <v>218</v>
      </c>
      <c r="I83" s="1" t="s">
        <v>27</v>
      </c>
      <c r="J83" s="1" t="s">
        <v>535</v>
      </c>
      <c r="K83" s="1">
        <v>4</v>
      </c>
      <c r="L83" s="1">
        <v>1849090</v>
      </c>
      <c r="M83" s="1">
        <v>12.15</v>
      </c>
      <c r="N83" s="1">
        <v>1</v>
      </c>
      <c r="O83" s="1" t="s">
        <v>41</v>
      </c>
      <c r="P83" s="1" t="s">
        <v>536</v>
      </c>
      <c r="Q83" s="1" t="s">
        <v>537</v>
      </c>
      <c r="R83" s="1">
        <v>18</v>
      </c>
      <c r="S83" s="1">
        <v>53</v>
      </c>
      <c r="T83" s="1" t="s">
        <v>288</v>
      </c>
    </row>
    <row r="84" spans="1:20" x14ac:dyDescent="0.3">
      <c r="A84" s="1" t="s">
        <v>538</v>
      </c>
      <c r="B84" s="1" t="s">
        <v>539</v>
      </c>
      <c r="C84" s="1" t="s">
        <v>197</v>
      </c>
      <c r="D84" s="1" t="s">
        <v>23</v>
      </c>
      <c r="E84" s="1" t="s">
        <v>92</v>
      </c>
      <c r="F84" s="1" t="s">
        <v>133</v>
      </c>
      <c r="G84" s="1">
        <v>29</v>
      </c>
      <c r="H84" s="1" t="s">
        <v>50</v>
      </c>
      <c r="I84" s="1" t="s">
        <v>27</v>
      </c>
      <c r="J84" s="1" t="s">
        <v>540</v>
      </c>
      <c r="K84" s="1">
        <v>20.9</v>
      </c>
      <c r="L84" s="1">
        <v>2363424</v>
      </c>
      <c r="M84" s="1">
        <v>10.92</v>
      </c>
      <c r="N84" s="1">
        <v>2</v>
      </c>
      <c r="O84" s="1" t="s">
        <v>29</v>
      </c>
      <c r="P84" s="1" t="s">
        <v>541</v>
      </c>
      <c r="Q84" s="1" t="s">
        <v>542</v>
      </c>
      <c r="R84" s="1">
        <v>33</v>
      </c>
      <c r="S84" s="1">
        <v>11</v>
      </c>
      <c r="T84" s="1" t="s">
        <v>166</v>
      </c>
    </row>
    <row r="85" spans="1:20" x14ac:dyDescent="0.3">
      <c r="A85" s="1" t="s">
        <v>543</v>
      </c>
      <c r="B85" s="1" t="s">
        <v>544</v>
      </c>
      <c r="C85" s="1" t="s">
        <v>197</v>
      </c>
      <c r="D85" s="1" t="s">
        <v>83</v>
      </c>
      <c r="E85" s="1" t="s">
        <v>102</v>
      </c>
      <c r="F85" s="1" t="s">
        <v>72</v>
      </c>
      <c r="G85" s="1">
        <v>29</v>
      </c>
      <c r="H85" s="1" t="s">
        <v>38</v>
      </c>
      <c r="I85" s="1" t="s">
        <v>39</v>
      </c>
      <c r="J85" s="1" t="s">
        <v>545</v>
      </c>
      <c r="K85" s="1">
        <v>13</v>
      </c>
      <c r="L85" s="1">
        <v>971013</v>
      </c>
      <c r="M85" s="1">
        <v>18.77</v>
      </c>
      <c r="N85" s="1">
        <v>4</v>
      </c>
      <c r="O85" s="1" t="s">
        <v>76</v>
      </c>
      <c r="P85" s="1" t="s">
        <v>546</v>
      </c>
      <c r="Q85" s="1" t="s">
        <v>547</v>
      </c>
      <c r="R85" s="1">
        <v>43</v>
      </c>
      <c r="S85" s="1">
        <v>55</v>
      </c>
      <c r="T85" s="1" t="s">
        <v>548</v>
      </c>
    </row>
    <row r="86" spans="1:20" x14ac:dyDescent="0.3">
      <c r="A86" s="1" t="s">
        <v>549</v>
      </c>
      <c r="B86" s="1" t="s">
        <v>550</v>
      </c>
      <c r="C86" s="1" t="s">
        <v>230</v>
      </c>
      <c r="D86" s="1" t="s">
        <v>59</v>
      </c>
      <c r="E86" s="1" t="s">
        <v>60</v>
      </c>
      <c r="F86" s="1" t="s">
        <v>133</v>
      </c>
      <c r="G86" s="1">
        <v>48</v>
      </c>
      <c r="H86" s="1" t="s">
        <v>38</v>
      </c>
      <c r="I86" s="1" t="s">
        <v>198</v>
      </c>
      <c r="J86" s="1" t="s">
        <v>551</v>
      </c>
      <c r="K86" s="1">
        <v>2.7</v>
      </c>
      <c r="L86" s="1">
        <v>1875096</v>
      </c>
      <c r="M86" s="1">
        <v>8.9600000000000009</v>
      </c>
      <c r="N86" s="1">
        <v>5</v>
      </c>
      <c r="O86" s="1" t="s">
        <v>29</v>
      </c>
      <c r="P86" s="1" t="s">
        <v>552</v>
      </c>
      <c r="Q86" s="1" t="s">
        <v>553</v>
      </c>
      <c r="R86" s="1">
        <v>42</v>
      </c>
      <c r="S86" s="1">
        <v>88</v>
      </c>
      <c r="T86" s="1" t="s">
        <v>354</v>
      </c>
    </row>
    <row r="87" spans="1:20" x14ac:dyDescent="0.3">
      <c r="A87" s="1" t="s">
        <v>554</v>
      </c>
      <c r="B87" s="1" t="s">
        <v>555</v>
      </c>
      <c r="C87" s="1" t="s">
        <v>132</v>
      </c>
      <c r="D87" s="1" t="s">
        <v>101</v>
      </c>
      <c r="E87" s="1" t="s">
        <v>60</v>
      </c>
      <c r="F87" s="1" t="s">
        <v>72</v>
      </c>
      <c r="G87" s="1">
        <v>40</v>
      </c>
      <c r="H87" s="1" t="s">
        <v>218</v>
      </c>
      <c r="I87" s="1" t="s">
        <v>39</v>
      </c>
      <c r="J87" s="1" t="s">
        <v>556</v>
      </c>
      <c r="K87" s="1">
        <v>2.9</v>
      </c>
      <c r="L87" s="1">
        <v>1107455</v>
      </c>
      <c r="M87" s="1">
        <v>20.72</v>
      </c>
      <c r="N87" s="1">
        <v>4</v>
      </c>
      <c r="O87" s="1" t="s">
        <v>41</v>
      </c>
      <c r="P87" s="1" t="s">
        <v>557</v>
      </c>
      <c r="Q87" s="1" t="s">
        <v>558</v>
      </c>
      <c r="R87" s="1">
        <v>55</v>
      </c>
      <c r="S87" s="1">
        <v>120</v>
      </c>
      <c r="T87" s="1" t="s">
        <v>559</v>
      </c>
    </row>
    <row r="88" spans="1:20" x14ac:dyDescent="0.3">
      <c r="A88" s="1" t="s">
        <v>560</v>
      </c>
      <c r="B88" s="1" t="s">
        <v>561</v>
      </c>
      <c r="C88" s="1" t="s">
        <v>58</v>
      </c>
      <c r="D88" s="1" t="s">
        <v>256</v>
      </c>
      <c r="E88" s="1" t="s">
        <v>155</v>
      </c>
      <c r="F88" s="1" t="s">
        <v>49</v>
      </c>
      <c r="G88" s="1">
        <v>49</v>
      </c>
      <c r="H88" s="1" t="s">
        <v>62</v>
      </c>
      <c r="I88" s="1" t="s">
        <v>118</v>
      </c>
      <c r="J88" s="1" t="s">
        <v>562</v>
      </c>
      <c r="K88" s="1">
        <v>19.100000000000001</v>
      </c>
      <c r="L88" s="1">
        <v>829867</v>
      </c>
      <c r="M88" s="1">
        <v>0.7</v>
      </c>
      <c r="N88" s="1">
        <v>3</v>
      </c>
      <c r="O88" s="1" t="s">
        <v>41</v>
      </c>
      <c r="P88" s="1" t="s">
        <v>563</v>
      </c>
      <c r="Q88" s="1" t="s">
        <v>365</v>
      </c>
      <c r="R88" s="1">
        <v>10</v>
      </c>
      <c r="S88" s="1">
        <v>3</v>
      </c>
      <c r="T88" s="1" t="s">
        <v>43</v>
      </c>
    </row>
    <row r="89" spans="1:20" x14ac:dyDescent="0.3">
      <c r="A89" s="1" t="s">
        <v>516</v>
      </c>
      <c r="B89" s="1" t="s">
        <v>564</v>
      </c>
      <c r="C89" s="1" t="s">
        <v>69</v>
      </c>
      <c r="D89" s="1" t="s">
        <v>83</v>
      </c>
      <c r="E89" s="1" t="s">
        <v>36</v>
      </c>
      <c r="F89" s="1" t="s">
        <v>72</v>
      </c>
      <c r="G89" s="1">
        <v>45</v>
      </c>
      <c r="H89" s="1" t="s">
        <v>218</v>
      </c>
      <c r="I89" s="1" t="s">
        <v>118</v>
      </c>
      <c r="J89" s="1" t="s">
        <v>565</v>
      </c>
      <c r="K89" s="1">
        <v>23.3</v>
      </c>
      <c r="L89" s="1">
        <v>1486541</v>
      </c>
      <c r="M89" s="1">
        <v>15.07</v>
      </c>
      <c r="N89" s="1">
        <v>3</v>
      </c>
      <c r="O89" s="1" t="s">
        <v>29</v>
      </c>
      <c r="P89" s="1" t="s">
        <v>566</v>
      </c>
      <c r="Q89" s="1" t="s">
        <v>567</v>
      </c>
      <c r="R89" s="1">
        <v>10</v>
      </c>
      <c r="S89" s="1">
        <v>18</v>
      </c>
      <c r="T89" s="1" t="s">
        <v>568</v>
      </c>
    </row>
    <row r="90" spans="1:20" x14ac:dyDescent="0.3">
      <c r="A90" s="1" t="s">
        <v>568</v>
      </c>
      <c r="B90" s="1" t="s">
        <v>569</v>
      </c>
      <c r="C90" s="1" t="s">
        <v>197</v>
      </c>
      <c r="D90" s="1" t="s">
        <v>327</v>
      </c>
      <c r="E90" s="1" t="s">
        <v>24</v>
      </c>
      <c r="F90" s="1" t="s">
        <v>25</v>
      </c>
      <c r="G90" s="1">
        <v>24</v>
      </c>
      <c r="H90" s="1" t="s">
        <v>218</v>
      </c>
      <c r="I90" s="1" t="s">
        <v>27</v>
      </c>
      <c r="J90" s="1" t="s">
        <v>570</v>
      </c>
      <c r="K90" s="1">
        <v>26</v>
      </c>
      <c r="L90" s="1">
        <v>1504088</v>
      </c>
      <c r="M90" s="1">
        <v>8.0399999999999991</v>
      </c>
      <c r="N90" s="1">
        <v>5</v>
      </c>
      <c r="O90" s="1" t="s">
        <v>76</v>
      </c>
      <c r="P90" s="1" t="s">
        <v>571</v>
      </c>
      <c r="Q90" s="1" t="s">
        <v>572</v>
      </c>
      <c r="R90" s="1">
        <v>19</v>
      </c>
      <c r="S90" s="1">
        <v>57</v>
      </c>
      <c r="T90" s="1" t="s">
        <v>573</v>
      </c>
    </row>
    <row r="91" spans="1:20" x14ac:dyDescent="0.3">
      <c r="A91" s="1" t="s">
        <v>574</v>
      </c>
      <c r="B91" s="1" t="s">
        <v>575</v>
      </c>
      <c r="C91" s="1" t="s">
        <v>22</v>
      </c>
      <c r="D91" s="1" t="s">
        <v>83</v>
      </c>
      <c r="E91" s="1" t="s">
        <v>155</v>
      </c>
      <c r="F91" s="1" t="s">
        <v>37</v>
      </c>
      <c r="G91" s="1">
        <v>34</v>
      </c>
      <c r="H91" s="1" t="s">
        <v>62</v>
      </c>
      <c r="I91" s="1" t="s">
        <v>85</v>
      </c>
      <c r="J91" s="1" t="s">
        <v>576</v>
      </c>
      <c r="K91" s="1">
        <v>13.8</v>
      </c>
      <c r="L91" s="1">
        <v>1679260</v>
      </c>
      <c r="M91" s="1">
        <v>5.83</v>
      </c>
      <c r="N91" s="1" t="s">
        <v>577</v>
      </c>
      <c r="O91" s="1" t="s">
        <v>135</v>
      </c>
      <c r="P91" s="1"/>
      <c r="Q91" s="1" t="s">
        <v>578</v>
      </c>
      <c r="R91" s="1">
        <v>8</v>
      </c>
      <c r="S91" s="1">
        <v>47</v>
      </c>
      <c r="T91" s="1"/>
    </row>
    <row r="92" spans="1:20" x14ac:dyDescent="0.3">
      <c r="A92" s="1" t="s">
        <v>579</v>
      </c>
      <c r="B92" s="1" t="s">
        <v>580</v>
      </c>
      <c r="C92" s="1" t="s">
        <v>197</v>
      </c>
      <c r="D92" s="1" t="s">
        <v>217</v>
      </c>
      <c r="E92" s="1" t="s">
        <v>290</v>
      </c>
      <c r="F92" s="1" t="s">
        <v>37</v>
      </c>
      <c r="G92" s="1">
        <v>27</v>
      </c>
      <c r="H92" s="1" t="s">
        <v>218</v>
      </c>
      <c r="I92" s="1" t="s">
        <v>118</v>
      </c>
      <c r="J92" s="1" t="s">
        <v>332</v>
      </c>
      <c r="K92" s="1">
        <v>9.6999999999999993</v>
      </c>
      <c r="L92" s="1">
        <v>2264091</v>
      </c>
      <c r="M92" s="1">
        <v>22.93</v>
      </c>
      <c r="N92" s="1">
        <v>4</v>
      </c>
      <c r="O92" s="1" t="s">
        <v>135</v>
      </c>
      <c r="P92" s="1" t="s">
        <v>581</v>
      </c>
      <c r="Q92" s="1" t="s">
        <v>582</v>
      </c>
      <c r="R92" s="1">
        <v>41</v>
      </c>
      <c r="S92" s="1">
        <v>3</v>
      </c>
      <c r="T92" s="1" t="s">
        <v>252</v>
      </c>
    </row>
    <row r="93" spans="1:20" x14ac:dyDescent="0.3">
      <c r="A93" s="1" t="s">
        <v>583</v>
      </c>
      <c r="B93" s="1" t="s">
        <v>584</v>
      </c>
      <c r="C93" s="1" t="s">
        <v>255</v>
      </c>
      <c r="D93" s="1" t="s">
        <v>217</v>
      </c>
      <c r="E93" s="1" t="s">
        <v>48</v>
      </c>
      <c r="F93" s="1" t="s">
        <v>25</v>
      </c>
      <c r="G93" s="1">
        <v>27</v>
      </c>
      <c r="H93" s="1" t="s">
        <v>73</v>
      </c>
      <c r="I93" s="1" t="s">
        <v>125</v>
      </c>
      <c r="J93" s="1" t="s">
        <v>585</v>
      </c>
      <c r="K93" s="1">
        <v>25.8</v>
      </c>
      <c r="L93" s="1">
        <v>1966627</v>
      </c>
      <c r="M93" s="1">
        <v>14.57</v>
      </c>
      <c r="N93" s="1">
        <v>5</v>
      </c>
      <c r="O93" s="1" t="s">
        <v>29</v>
      </c>
      <c r="P93" s="1" t="s">
        <v>586</v>
      </c>
      <c r="Q93" s="1" t="s">
        <v>587</v>
      </c>
      <c r="R93" s="1">
        <v>12</v>
      </c>
      <c r="S93" s="1">
        <v>72</v>
      </c>
      <c r="T93" s="1" t="s">
        <v>147</v>
      </c>
    </row>
    <row r="94" spans="1:20" x14ac:dyDescent="0.3">
      <c r="A94" s="1" t="s">
        <v>588</v>
      </c>
      <c r="B94" s="1" t="s">
        <v>589</v>
      </c>
      <c r="C94" s="1" t="s">
        <v>22</v>
      </c>
      <c r="D94" s="1" t="s">
        <v>83</v>
      </c>
      <c r="E94" s="1" t="s">
        <v>92</v>
      </c>
      <c r="F94" s="1" t="s">
        <v>37</v>
      </c>
      <c r="G94" s="1">
        <v>45</v>
      </c>
      <c r="H94" s="1" t="s">
        <v>38</v>
      </c>
      <c r="I94" s="1" t="s">
        <v>125</v>
      </c>
      <c r="J94" s="1" t="s">
        <v>590</v>
      </c>
      <c r="K94" s="1">
        <v>5.3</v>
      </c>
      <c r="L94" s="1" t="s">
        <v>591</v>
      </c>
      <c r="M94" s="1">
        <v>24.42</v>
      </c>
      <c r="N94" s="1">
        <v>5</v>
      </c>
      <c r="O94" s="1" t="s">
        <v>41</v>
      </c>
      <c r="P94" s="1" t="s">
        <v>592</v>
      </c>
      <c r="Q94" s="1" t="s">
        <v>593</v>
      </c>
      <c r="R94" s="1">
        <v>72</v>
      </c>
      <c r="S94" s="1">
        <v>61</v>
      </c>
      <c r="T94" s="1"/>
    </row>
    <row r="95" spans="1:20" x14ac:dyDescent="0.3">
      <c r="A95" s="1" t="s">
        <v>594</v>
      </c>
      <c r="B95" s="1" t="s">
        <v>595</v>
      </c>
      <c r="C95" s="1" t="s">
        <v>46</v>
      </c>
      <c r="D95" s="1" t="s">
        <v>244</v>
      </c>
      <c r="E95" s="1" t="s">
        <v>102</v>
      </c>
      <c r="F95" s="1" t="s">
        <v>49</v>
      </c>
      <c r="G95" s="1">
        <v>28</v>
      </c>
      <c r="H95" s="1" t="s">
        <v>38</v>
      </c>
      <c r="I95" s="1" t="s">
        <v>27</v>
      </c>
      <c r="J95" s="1" t="s">
        <v>596</v>
      </c>
      <c r="K95" s="1">
        <v>12.6</v>
      </c>
      <c r="L95" s="1"/>
      <c r="M95" s="1">
        <v>21.48</v>
      </c>
      <c r="N95" s="1">
        <v>5</v>
      </c>
      <c r="O95" s="1" t="s">
        <v>29</v>
      </c>
      <c r="P95" s="1" t="s">
        <v>597</v>
      </c>
      <c r="Q95" s="1" t="s">
        <v>598</v>
      </c>
      <c r="R95" s="1">
        <v>40</v>
      </c>
      <c r="S95" s="1">
        <v>113</v>
      </c>
      <c r="T95" s="1" t="s">
        <v>599</v>
      </c>
    </row>
    <row r="96" spans="1:20" x14ac:dyDescent="0.3">
      <c r="A96" s="1" t="s">
        <v>600</v>
      </c>
      <c r="B96" s="1" t="s">
        <v>601</v>
      </c>
      <c r="C96" s="1" t="s">
        <v>22</v>
      </c>
      <c r="D96" s="1" t="s">
        <v>327</v>
      </c>
      <c r="E96" s="1" t="s">
        <v>175</v>
      </c>
      <c r="F96" s="1" t="s">
        <v>93</v>
      </c>
      <c r="G96" s="1">
        <v>30</v>
      </c>
      <c r="H96" s="1" t="s">
        <v>142</v>
      </c>
      <c r="I96" s="1" t="s">
        <v>74</v>
      </c>
      <c r="J96" s="1" t="s">
        <v>602</v>
      </c>
      <c r="K96" s="1">
        <v>21</v>
      </c>
      <c r="L96" s="1">
        <v>554985</v>
      </c>
      <c r="M96" s="1">
        <v>9.76</v>
      </c>
      <c r="N96" s="1">
        <v>4</v>
      </c>
      <c r="O96" s="1" t="s">
        <v>41</v>
      </c>
      <c r="P96" s="1" t="s">
        <v>603</v>
      </c>
      <c r="Q96" s="1" t="s">
        <v>604</v>
      </c>
      <c r="R96" s="1">
        <v>26</v>
      </c>
      <c r="S96" s="1">
        <v>20</v>
      </c>
      <c r="T96" s="1" t="s">
        <v>271</v>
      </c>
    </row>
    <row r="97" spans="1:20" x14ac:dyDescent="0.3">
      <c r="A97" s="1" t="s">
        <v>605</v>
      </c>
      <c r="B97" s="1" t="s">
        <v>606</v>
      </c>
      <c r="C97" s="1" t="s">
        <v>230</v>
      </c>
      <c r="D97" s="1" t="s">
        <v>111</v>
      </c>
      <c r="E97" s="1" t="s">
        <v>155</v>
      </c>
      <c r="F97" s="1" t="s">
        <v>93</v>
      </c>
      <c r="G97" s="1">
        <v>28</v>
      </c>
      <c r="H97" s="1" t="s">
        <v>84</v>
      </c>
      <c r="I97" s="1" t="s">
        <v>118</v>
      </c>
      <c r="J97" s="1" t="s">
        <v>607</v>
      </c>
      <c r="K97" s="1">
        <v>18.399999999999999</v>
      </c>
      <c r="L97" s="1">
        <v>1940492</v>
      </c>
      <c r="M97" s="1">
        <v>9.41</v>
      </c>
      <c r="N97" s="1">
        <v>5</v>
      </c>
      <c r="O97" s="1" t="s">
        <v>41</v>
      </c>
      <c r="P97" s="1" t="s">
        <v>608</v>
      </c>
      <c r="Q97" s="1" t="s">
        <v>609</v>
      </c>
      <c r="R97" s="1">
        <v>28</v>
      </c>
      <c r="S97" s="1">
        <v>71</v>
      </c>
      <c r="T97" s="1" t="s">
        <v>138</v>
      </c>
    </row>
    <row r="98" spans="1:20" x14ac:dyDescent="0.3">
      <c r="A98" s="1" t="s">
        <v>610</v>
      </c>
      <c r="B98" s="1" t="s">
        <v>611</v>
      </c>
      <c r="C98" s="1" t="s">
        <v>22</v>
      </c>
      <c r="D98" s="1" t="s">
        <v>256</v>
      </c>
      <c r="E98" s="1" t="s">
        <v>60</v>
      </c>
      <c r="F98" s="1" t="s">
        <v>61</v>
      </c>
      <c r="G98" s="1">
        <v>40</v>
      </c>
      <c r="H98" s="1" t="s">
        <v>204</v>
      </c>
      <c r="I98" s="1" t="s">
        <v>51</v>
      </c>
      <c r="J98" s="1" t="s">
        <v>612</v>
      </c>
      <c r="K98" s="1">
        <v>16.3</v>
      </c>
      <c r="L98" s="1">
        <v>2080869</v>
      </c>
      <c r="M98" s="1">
        <v>9.9499999999999993</v>
      </c>
      <c r="N98" s="1">
        <v>4</v>
      </c>
      <c r="O98" s="1" t="s">
        <v>41</v>
      </c>
      <c r="P98" s="1" t="s">
        <v>613</v>
      </c>
      <c r="Q98" s="1" t="s">
        <v>614</v>
      </c>
      <c r="R98" s="1">
        <v>29</v>
      </c>
      <c r="S98" s="1">
        <v>24</v>
      </c>
      <c r="T98" s="1" t="s">
        <v>129</v>
      </c>
    </row>
    <row r="99" spans="1:20" x14ac:dyDescent="0.3">
      <c r="A99" s="1" t="s">
        <v>615</v>
      </c>
      <c r="B99" s="1" t="s">
        <v>616</v>
      </c>
      <c r="C99" s="1" t="s">
        <v>35</v>
      </c>
      <c r="D99" s="1" t="s">
        <v>101</v>
      </c>
      <c r="E99" s="1" t="s">
        <v>92</v>
      </c>
      <c r="F99" s="1" t="s">
        <v>49</v>
      </c>
      <c r="G99" s="1">
        <v>56</v>
      </c>
      <c r="H99" s="1" t="s">
        <v>62</v>
      </c>
      <c r="I99" s="1" t="s">
        <v>85</v>
      </c>
      <c r="J99" s="1" t="s">
        <v>617</v>
      </c>
      <c r="K99" s="1">
        <v>29.1</v>
      </c>
      <c r="L99" s="1">
        <v>415765</v>
      </c>
      <c r="M99" s="1">
        <v>22.49</v>
      </c>
      <c r="N99" s="1">
        <v>3</v>
      </c>
      <c r="O99" s="1" t="s">
        <v>41</v>
      </c>
      <c r="P99" s="1" t="s">
        <v>618</v>
      </c>
      <c r="Q99" s="1" t="s">
        <v>619</v>
      </c>
      <c r="R99" s="1">
        <v>5</v>
      </c>
      <c r="S99" s="1">
        <v>0</v>
      </c>
      <c r="T99" s="1" t="s">
        <v>79</v>
      </c>
    </row>
    <row r="100" spans="1:20" x14ac:dyDescent="0.3">
      <c r="A100" s="1" t="s">
        <v>55</v>
      </c>
      <c r="B100" s="1" t="s">
        <v>620</v>
      </c>
      <c r="C100" s="1" t="s">
        <v>124</v>
      </c>
      <c r="D100" s="1" t="s">
        <v>23</v>
      </c>
      <c r="E100" s="1" t="s">
        <v>48</v>
      </c>
      <c r="F100" s="1" t="s">
        <v>190</v>
      </c>
      <c r="G100" s="1">
        <v>29</v>
      </c>
      <c r="H100" s="1" t="s">
        <v>204</v>
      </c>
      <c r="I100" s="1" t="s">
        <v>74</v>
      </c>
      <c r="J100" s="1" t="s">
        <v>621</v>
      </c>
      <c r="K100" s="1">
        <v>28.5</v>
      </c>
      <c r="L100" s="1">
        <v>1662176</v>
      </c>
      <c r="M100" s="1">
        <v>18.649999999999999</v>
      </c>
      <c r="N100" s="1">
        <v>2</v>
      </c>
      <c r="O100" s="1" t="s">
        <v>135</v>
      </c>
      <c r="P100" s="1" t="s">
        <v>622</v>
      </c>
      <c r="Q100" s="1" t="s">
        <v>623</v>
      </c>
      <c r="R100" s="1">
        <v>21</v>
      </c>
      <c r="S100" s="1">
        <v>81</v>
      </c>
      <c r="T100" s="1" t="s">
        <v>166</v>
      </c>
    </row>
    <row r="101" spans="1:20" x14ac:dyDescent="0.3">
      <c r="A101" s="1" t="s">
        <v>624</v>
      </c>
      <c r="B101" s="1" t="s">
        <v>625</v>
      </c>
      <c r="C101" s="1" t="s">
        <v>230</v>
      </c>
      <c r="D101" s="1" t="s">
        <v>101</v>
      </c>
      <c r="E101" s="1" t="s">
        <v>36</v>
      </c>
      <c r="F101" s="1" t="s">
        <v>25</v>
      </c>
      <c r="G101" s="1">
        <v>56</v>
      </c>
      <c r="H101" s="1" t="s">
        <v>26</v>
      </c>
      <c r="I101" s="1" t="s">
        <v>51</v>
      </c>
      <c r="J101" s="1" t="s">
        <v>626</v>
      </c>
      <c r="K101" s="1">
        <v>17.7</v>
      </c>
      <c r="L101" s="1">
        <v>1157586</v>
      </c>
      <c r="M101" s="1">
        <v>9.7899999999999991</v>
      </c>
      <c r="N101" s="1">
        <v>4</v>
      </c>
      <c r="O101" s="1" t="s">
        <v>41</v>
      </c>
      <c r="P101" s="1" t="s">
        <v>627</v>
      </c>
      <c r="Q101" s="1" t="s">
        <v>628</v>
      </c>
      <c r="R101" s="1">
        <v>72</v>
      </c>
      <c r="S101" s="1">
        <v>43</v>
      </c>
      <c r="T101" s="1" t="s">
        <v>629</v>
      </c>
    </row>
    <row r="102" spans="1:20" x14ac:dyDescent="0.3">
      <c r="A102" s="1" t="s">
        <v>630</v>
      </c>
      <c r="B102" s="1" t="s">
        <v>631</v>
      </c>
      <c r="C102" s="1" t="s">
        <v>230</v>
      </c>
      <c r="D102" s="1" t="s">
        <v>244</v>
      </c>
      <c r="E102" s="1" t="s">
        <v>155</v>
      </c>
      <c r="F102" s="1" t="s">
        <v>37</v>
      </c>
      <c r="G102" s="1">
        <v>42</v>
      </c>
      <c r="H102" s="1" t="s">
        <v>204</v>
      </c>
      <c r="I102" s="1" t="s">
        <v>27</v>
      </c>
      <c r="J102" s="1" t="s">
        <v>632</v>
      </c>
      <c r="K102" s="1">
        <v>1.5</v>
      </c>
      <c r="L102" s="1">
        <v>2156215</v>
      </c>
      <c r="M102" s="1">
        <v>16.5</v>
      </c>
      <c r="N102" s="1">
        <v>3</v>
      </c>
      <c r="O102" s="1" t="s">
        <v>29</v>
      </c>
      <c r="P102" s="1" t="s">
        <v>633</v>
      </c>
      <c r="Q102" s="1" t="s">
        <v>634</v>
      </c>
      <c r="R102" s="1">
        <v>73</v>
      </c>
      <c r="S102" s="1">
        <v>71</v>
      </c>
      <c r="T102" s="1" t="s">
        <v>548</v>
      </c>
    </row>
    <row r="103" spans="1:20" x14ac:dyDescent="0.3">
      <c r="A103" s="1" t="s">
        <v>635</v>
      </c>
      <c r="B103" s="1" t="s">
        <v>636</v>
      </c>
      <c r="C103" s="1" t="s">
        <v>255</v>
      </c>
      <c r="D103" s="1" t="s">
        <v>256</v>
      </c>
      <c r="E103" s="1" t="s">
        <v>92</v>
      </c>
      <c r="F103" s="1" t="s">
        <v>37</v>
      </c>
      <c r="G103" s="1">
        <v>35</v>
      </c>
      <c r="H103" s="1" t="s">
        <v>84</v>
      </c>
      <c r="I103" s="1" t="s">
        <v>125</v>
      </c>
      <c r="J103" s="1" t="s">
        <v>637</v>
      </c>
      <c r="K103" s="1">
        <v>28.3</v>
      </c>
      <c r="L103" s="1">
        <v>1635822</v>
      </c>
      <c r="M103" s="1">
        <v>9.59</v>
      </c>
      <c r="N103" s="1">
        <v>5</v>
      </c>
      <c r="O103" s="1" t="s">
        <v>64</v>
      </c>
      <c r="P103" s="1" t="s">
        <v>638</v>
      </c>
      <c r="Q103" s="1" t="s">
        <v>639</v>
      </c>
      <c r="R103" s="1">
        <v>50</v>
      </c>
      <c r="S103" s="1">
        <v>76</v>
      </c>
      <c r="T103" s="1" t="s">
        <v>431</v>
      </c>
    </row>
    <row r="104" spans="1:20" x14ac:dyDescent="0.3">
      <c r="A104" s="1" t="s">
        <v>640</v>
      </c>
      <c r="B104" s="1" t="s">
        <v>641</v>
      </c>
      <c r="C104" s="1" t="s">
        <v>255</v>
      </c>
      <c r="D104" s="1" t="s">
        <v>231</v>
      </c>
      <c r="E104" s="1" t="s">
        <v>92</v>
      </c>
      <c r="F104" s="1" t="s">
        <v>190</v>
      </c>
      <c r="G104" s="1">
        <v>34</v>
      </c>
      <c r="H104" s="1" t="s">
        <v>142</v>
      </c>
      <c r="I104" s="1" t="s">
        <v>125</v>
      </c>
      <c r="J104" s="1" t="s">
        <v>642</v>
      </c>
      <c r="K104" s="1">
        <v>23.9</v>
      </c>
      <c r="L104" s="1">
        <v>1645107</v>
      </c>
      <c r="M104" s="1">
        <v>7.01</v>
      </c>
      <c r="N104" s="1">
        <v>5</v>
      </c>
      <c r="O104" s="1" t="s">
        <v>29</v>
      </c>
      <c r="P104" s="1" t="s">
        <v>643</v>
      </c>
      <c r="Q104" s="1" t="s">
        <v>644</v>
      </c>
      <c r="R104" s="1">
        <v>3</v>
      </c>
      <c r="S104" s="1">
        <v>115</v>
      </c>
      <c r="T104" s="1" t="s">
        <v>522</v>
      </c>
    </row>
    <row r="105" spans="1:20" x14ac:dyDescent="0.3">
      <c r="A105" s="1" t="s">
        <v>645</v>
      </c>
      <c r="B105" s="1" t="s">
        <v>646</v>
      </c>
      <c r="C105" s="1" t="s">
        <v>230</v>
      </c>
      <c r="D105" s="1" t="s">
        <v>327</v>
      </c>
      <c r="E105" s="1" t="s">
        <v>24</v>
      </c>
      <c r="F105" s="1" t="s">
        <v>72</v>
      </c>
      <c r="G105" s="1">
        <v>41</v>
      </c>
      <c r="H105" s="1" t="s">
        <v>142</v>
      </c>
      <c r="I105" s="1" t="s">
        <v>125</v>
      </c>
      <c r="J105" s="1" t="s">
        <v>647</v>
      </c>
      <c r="K105" s="1">
        <v>6.7</v>
      </c>
      <c r="L105" s="1">
        <v>2003390</v>
      </c>
      <c r="M105" s="1">
        <v>8.94</v>
      </c>
      <c r="N105" s="1">
        <v>2</v>
      </c>
      <c r="O105" s="1" t="s">
        <v>41</v>
      </c>
      <c r="P105" s="1" t="s">
        <v>648</v>
      </c>
      <c r="Q105" s="1" t="s">
        <v>649</v>
      </c>
      <c r="R105" s="1">
        <v>76</v>
      </c>
      <c r="S105" s="1">
        <v>49</v>
      </c>
      <c r="T105" s="1" t="s">
        <v>403</v>
      </c>
    </row>
    <row r="106" spans="1:20" x14ac:dyDescent="0.3">
      <c r="A106" s="1" t="s">
        <v>172</v>
      </c>
      <c r="B106" s="1" t="s">
        <v>650</v>
      </c>
      <c r="C106" s="1" t="s">
        <v>110</v>
      </c>
      <c r="D106" s="1" t="s">
        <v>23</v>
      </c>
      <c r="E106" s="1" t="s">
        <v>290</v>
      </c>
      <c r="F106" s="1" t="s">
        <v>72</v>
      </c>
      <c r="G106" s="1">
        <v>40</v>
      </c>
      <c r="H106" s="1" t="s">
        <v>50</v>
      </c>
      <c r="I106" s="1" t="s">
        <v>51</v>
      </c>
      <c r="J106" s="1" t="s">
        <v>651</v>
      </c>
      <c r="K106" s="1">
        <v>14.8</v>
      </c>
      <c r="L106" s="1">
        <v>847751</v>
      </c>
      <c r="M106" s="1">
        <v>22.05</v>
      </c>
      <c r="N106" s="1"/>
      <c r="O106" s="1" t="s">
        <v>258</v>
      </c>
      <c r="P106" s="1" t="s">
        <v>220</v>
      </c>
      <c r="Q106" s="1" t="s">
        <v>652</v>
      </c>
      <c r="R106" s="1">
        <v>35</v>
      </c>
      <c r="S106" s="1">
        <v>46</v>
      </c>
      <c r="T106" s="1" t="s">
        <v>653</v>
      </c>
    </row>
    <row r="107" spans="1:20" x14ac:dyDescent="0.3">
      <c r="A107" s="1" t="s">
        <v>654</v>
      </c>
      <c r="B107" s="1" t="s">
        <v>655</v>
      </c>
      <c r="C107" s="1" t="s">
        <v>22</v>
      </c>
      <c r="D107" s="1" t="s">
        <v>101</v>
      </c>
      <c r="E107" s="1" t="s">
        <v>189</v>
      </c>
      <c r="F107" s="1" t="s">
        <v>72</v>
      </c>
      <c r="G107" s="1">
        <v>44</v>
      </c>
      <c r="H107" s="1" t="s">
        <v>50</v>
      </c>
      <c r="I107" s="1" t="s">
        <v>51</v>
      </c>
      <c r="J107" s="1" t="s">
        <v>656</v>
      </c>
      <c r="K107" s="1">
        <v>23.6</v>
      </c>
      <c r="L107" s="1">
        <v>1343127</v>
      </c>
      <c r="M107" s="1">
        <v>19.52</v>
      </c>
      <c r="N107" s="1">
        <v>3</v>
      </c>
      <c r="O107" s="1" t="s">
        <v>64</v>
      </c>
      <c r="P107" s="1" t="s">
        <v>657</v>
      </c>
      <c r="Q107" s="1" t="s">
        <v>658</v>
      </c>
      <c r="R107" s="1">
        <v>63</v>
      </c>
      <c r="S107" s="1">
        <v>42</v>
      </c>
      <c r="T107" s="1" t="s">
        <v>516</v>
      </c>
    </row>
    <row r="108" spans="1:20" x14ac:dyDescent="0.3">
      <c r="A108" s="1" t="s">
        <v>194</v>
      </c>
      <c r="B108" s="1" t="s">
        <v>659</v>
      </c>
      <c r="C108" s="1" t="s">
        <v>230</v>
      </c>
      <c r="D108" s="1" t="s">
        <v>59</v>
      </c>
      <c r="E108" s="1" t="s">
        <v>48</v>
      </c>
      <c r="F108" s="1" t="s">
        <v>37</v>
      </c>
      <c r="G108" s="1">
        <v>45</v>
      </c>
      <c r="H108" s="1" t="s">
        <v>62</v>
      </c>
      <c r="I108" s="1" t="s">
        <v>118</v>
      </c>
      <c r="J108" s="1" t="s">
        <v>660</v>
      </c>
      <c r="K108" s="1">
        <v>20.3</v>
      </c>
      <c r="L108" s="1">
        <v>2219105</v>
      </c>
      <c r="M108" s="1">
        <v>16.84</v>
      </c>
      <c r="N108" s="1">
        <v>3</v>
      </c>
      <c r="O108" s="1" t="s">
        <v>41</v>
      </c>
      <c r="P108" s="1" t="s">
        <v>661</v>
      </c>
      <c r="Q108" s="1" t="s">
        <v>662</v>
      </c>
      <c r="R108" s="1">
        <v>78</v>
      </c>
      <c r="S108" s="1">
        <v>86</v>
      </c>
      <c r="T108" s="1" t="s">
        <v>195</v>
      </c>
    </row>
    <row r="109" spans="1:20" x14ac:dyDescent="0.3">
      <c r="A109" s="1" t="s">
        <v>80</v>
      </c>
      <c r="B109" s="1" t="s">
        <v>81</v>
      </c>
      <c r="C109" s="1" t="s">
        <v>82</v>
      </c>
      <c r="D109" s="1" t="s">
        <v>83</v>
      </c>
      <c r="E109" s="1" t="s">
        <v>36</v>
      </c>
      <c r="F109" s="1" t="s">
        <v>37</v>
      </c>
      <c r="G109" s="1">
        <v>30</v>
      </c>
      <c r="H109" s="1" t="s">
        <v>84</v>
      </c>
      <c r="I109" s="1" t="s">
        <v>85</v>
      </c>
      <c r="J109" s="1" t="s">
        <v>86</v>
      </c>
      <c r="K109" s="1">
        <v>24.3</v>
      </c>
      <c r="L109" s="1">
        <v>972149</v>
      </c>
      <c r="M109" s="1">
        <v>23.73</v>
      </c>
      <c r="N109" s="1">
        <v>3</v>
      </c>
      <c r="O109" s="1" t="s">
        <v>41</v>
      </c>
      <c r="P109" s="1" t="s">
        <v>87</v>
      </c>
      <c r="Q109" s="1" t="s">
        <v>88</v>
      </c>
      <c r="R109" s="1">
        <v>51</v>
      </c>
      <c r="S109" s="1">
        <v>94</v>
      </c>
      <c r="T109" s="1" t="s">
        <v>89</v>
      </c>
    </row>
    <row r="110" spans="1:20" x14ac:dyDescent="0.3">
      <c r="A110" s="1" t="s">
        <v>663</v>
      </c>
      <c r="B110" s="1" t="s">
        <v>664</v>
      </c>
      <c r="C110" s="1" t="s">
        <v>22</v>
      </c>
      <c r="D110" s="1" t="s">
        <v>59</v>
      </c>
      <c r="E110" s="1" t="s">
        <v>60</v>
      </c>
      <c r="F110" s="1" t="s">
        <v>133</v>
      </c>
      <c r="G110" s="1">
        <v>28</v>
      </c>
      <c r="H110" s="1" t="s">
        <v>218</v>
      </c>
      <c r="I110" s="1" t="s">
        <v>39</v>
      </c>
      <c r="J110" s="1" t="s">
        <v>665</v>
      </c>
      <c r="K110" s="1">
        <v>9.1</v>
      </c>
      <c r="L110" s="1">
        <v>1382940</v>
      </c>
      <c r="M110" s="1">
        <v>1.71</v>
      </c>
      <c r="N110" s="1">
        <v>3</v>
      </c>
      <c r="O110" s="1" t="s">
        <v>41</v>
      </c>
      <c r="P110" s="1" t="s">
        <v>666</v>
      </c>
      <c r="Q110" s="1" t="s">
        <v>667</v>
      </c>
      <c r="R110" s="1">
        <v>15</v>
      </c>
      <c r="S110" s="1">
        <v>0</v>
      </c>
      <c r="T110" s="1" t="s">
        <v>186</v>
      </c>
    </row>
    <row r="111" spans="1:20" x14ac:dyDescent="0.3">
      <c r="A111" s="1" t="s">
        <v>668</v>
      </c>
      <c r="B111" s="1" t="s">
        <v>669</v>
      </c>
      <c r="C111" s="1" t="s">
        <v>58</v>
      </c>
      <c r="D111" s="1" t="s">
        <v>327</v>
      </c>
      <c r="E111" s="1" t="s">
        <v>290</v>
      </c>
      <c r="F111" s="1" t="s">
        <v>72</v>
      </c>
      <c r="G111" s="1">
        <v>40</v>
      </c>
      <c r="H111" s="1" t="s">
        <v>218</v>
      </c>
      <c r="I111" s="1" t="s">
        <v>74</v>
      </c>
      <c r="J111" s="1" t="s">
        <v>670</v>
      </c>
      <c r="K111" s="1">
        <v>8.6</v>
      </c>
      <c r="L111" s="1">
        <v>2367641</v>
      </c>
      <c r="M111" s="1">
        <v>0.85</v>
      </c>
      <c r="N111" s="1">
        <v>3</v>
      </c>
      <c r="O111" s="1" t="s">
        <v>41</v>
      </c>
      <c r="P111" s="1" t="s">
        <v>671</v>
      </c>
      <c r="Q111" s="1" t="s">
        <v>672</v>
      </c>
      <c r="R111" s="1">
        <v>79</v>
      </c>
      <c r="S111" s="1">
        <v>116</v>
      </c>
      <c r="T111" s="1" t="s">
        <v>516</v>
      </c>
    </row>
    <row r="112" spans="1:20" x14ac:dyDescent="0.3">
      <c r="A112" s="1" t="s">
        <v>287</v>
      </c>
      <c r="B112" s="1" t="s">
        <v>673</v>
      </c>
      <c r="C112" s="1" t="s">
        <v>110</v>
      </c>
      <c r="D112" s="1" t="s">
        <v>101</v>
      </c>
      <c r="E112" s="1" t="s">
        <v>71</v>
      </c>
      <c r="F112" s="1" t="s">
        <v>190</v>
      </c>
      <c r="G112" s="1">
        <v>58</v>
      </c>
      <c r="H112" s="1" t="s">
        <v>218</v>
      </c>
      <c r="I112" s="1" t="s">
        <v>118</v>
      </c>
      <c r="J112" s="1" t="s">
        <v>674</v>
      </c>
      <c r="K112" s="1">
        <v>2.7</v>
      </c>
      <c r="L112" s="1">
        <v>2037385</v>
      </c>
      <c r="M112" s="1">
        <v>21.72</v>
      </c>
      <c r="N112" s="1">
        <v>5</v>
      </c>
      <c r="O112" s="1" t="s">
        <v>41</v>
      </c>
      <c r="P112" s="1" t="s">
        <v>675</v>
      </c>
      <c r="Q112" s="1" t="s">
        <v>676</v>
      </c>
      <c r="R112" s="1">
        <v>11</v>
      </c>
      <c r="S112" s="1">
        <v>58</v>
      </c>
      <c r="T112" s="1" t="s">
        <v>677</v>
      </c>
    </row>
    <row r="113" spans="1:20" x14ac:dyDescent="0.3">
      <c r="A113" s="1" t="s">
        <v>66</v>
      </c>
      <c r="B113" s="1" t="s">
        <v>215</v>
      </c>
      <c r="C113" s="1" t="s">
        <v>216</v>
      </c>
      <c r="D113" s="1" t="s">
        <v>256</v>
      </c>
      <c r="E113" s="1" t="s">
        <v>60</v>
      </c>
      <c r="F113" s="1" t="s">
        <v>49</v>
      </c>
      <c r="G113" s="1">
        <v>41</v>
      </c>
      <c r="H113" s="1" t="s">
        <v>142</v>
      </c>
      <c r="I113" s="1" t="s">
        <v>85</v>
      </c>
      <c r="J113" s="1" t="s">
        <v>678</v>
      </c>
      <c r="K113" s="1">
        <v>16.2</v>
      </c>
      <c r="L113" s="1">
        <v>2427833</v>
      </c>
      <c r="M113" s="1">
        <v>15.73</v>
      </c>
      <c r="N113" s="1">
        <v>2</v>
      </c>
      <c r="O113" s="1" t="s">
        <v>135</v>
      </c>
      <c r="P113" s="1" t="s">
        <v>679</v>
      </c>
      <c r="Q113" s="1" t="s">
        <v>680</v>
      </c>
      <c r="R113" s="1">
        <v>33</v>
      </c>
      <c r="S113" s="1">
        <v>100</v>
      </c>
      <c r="T113" s="1" t="s">
        <v>147</v>
      </c>
    </row>
    <row r="114" spans="1:20" x14ac:dyDescent="0.3">
      <c r="A114" s="1" t="s">
        <v>681</v>
      </c>
      <c r="B114" s="1" t="s">
        <v>682</v>
      </c>
      <c r="C114" s="1" t="s">
        <v>124</v>
      </c>
      <c r="D114" s="1" t="s">
        <v>101</v>
      </c>
      <c r="E114" s="1" t="s">
        <v>189</v>
      </c>
      <c r="F114" s="1" t="s">
        <v>133</v>
      </c>
      <c r="G114" s="1">
        <v>24</v>
      </c>
      <c r="H114" s="1" t="s">
        <v>26</v>
      </c>
      <c r="I114" s="1" t="s">
        <v>51</v>
      </c>
      <c r="J114" s="1" t="s">
        <v>683</v>
      </c>
      <c r="K114" s="1">
        <v>28.5</v>
      </c>
      <c r="L114" s="1">
        <v>940514</v>
      </c>
      <c r="M114" s="1">
        <v>4.8600000000000003</v>
      </c>
      <c r="N114" s="1">
        <v>1</v>
      </c>
      <c r="O114" s="1" t="s">
        <v>41</v>
      </c>
      <c r="P114" s="1" t="s">
        <v>684</v>
      </c>
      <c r="Q114" s="1" t="s">
        <v>685</v>
      </c>
      <c r="R114" s="1"/>
      <c r="S114" s="1">
        <v>56</v>
      </c>
      <c r="T114" s="1" t="s">
        <v>252</v>
      </c>
    </row>
    <row r="115" spans="1:20" x14ac:dyDescent="0.3">
      <c r="A115" s="1" t="s">
        <v>686</v>
      </c>
      <c r="B115" s="1" t="s">
        <v>687</v>
      </c>
      <c r="C115" s="1" t="s">
        <v>58</v>
      </c>
      <c r="D115" s="1" t="s">
        <v>23</v>
      </c>
      <c r="E115" s="1" t="s">
        <v>24</v>
      </c>
      <c r="F115" s="1" t="s">
        <v>25</v>
      </c>
      <c r="G115" s="1">
        <v>34</v>
      </c>
      <c r="H115" s="1" t="s">
        <v>103</v>
      </c>
      <c r="I115" s="1" t="s">
        <v>198</v>
      </c>
      <c r="J115" s="1" t="s">
        <v>688</v>
      </c>
      <c r="K115" s="1">
        <v>24.8</v>
      </c>
      <c r="L115" s="1">
        <v>1947927</v>
      </c>
      <c r="M115" s="1">
        <v>12.47</v>
      </c>
      <c r="N115" s="1">
        <v>5</v>
      </c>
      <c r="O115" s="1" t="s">
        <v>258</v>
      </c>
      <c r="P115" s="1" t="s">
        <v>689</v>
      </c>
      <c r="Q115" s="1" t="s">
        <v>690</v>
      </c>
      <c r="R115" s="1">
        <v>6</v>
      </c>
      <c r="S115" s="1">
        <v>55</v>
      </c>
      <c r="T115" s="1" t="s">
        <v>89</v>
      </c>
    </row>
    <row r="116" spans="1:20" x14ac:dyDescent="0.3">
      <c r="A116" s="1" t="s">
        <v>691</v>
      </c>
      <c r="B116" s="1" t="s">
        <v>692</v>
      </c>
      <c r="C116" s="1" t="s">
        <v>124</v>
      </c>
      <c r="D116" s="1" t="s">
        <v>217</v>
      </c>
      <c r="E116" s="1" t="s">
        <v>48</v>
      </c>
      <c r="F116" s="1" t="s">
        <v>25</v>
      </c>
      <c r="G116" s="1">
        <v>25</v>
      </c>
      <c r="H116" s="1" t="s">
        <v>73</v>
      </c>
      <c r="I116" s="1" t="s">
        <v>125</v>
      </c>
      <c r="J116" s="1" t="s">
        <v>693</v>
      </c>
      <c r="K116" s="1">
        <v>8.9</v>
      </c>
      <c r="L116" s="1">
        <v>1047627</v>
      </c>
      <c r="M116" s="1">
        <v>8.07</v>
      </c>
      <c r="N116" s="1">
        <v>3</v>
      </c>
      <c r="O116" s="1" t="s">
        <v>135</v>
      </c>
      <c r="P116" s="1" t="s">
        <v>694</v>
      </c>
      <c r="Q116" s="1" t="s">
        <v>695</v>
      </c>
      <c r="R116" s="1">
        <v>8</v>
      </c>
      <c r="S116" s="1">
        <v>107</v>
      </c>
      <c r="T116" s="1" t="s">
        <v>696</v>
      </c>
    </row>
    <row r="117" spans="1:20" x14ac:dyDescent="0.3">
      <c r="A117" s="1" t="s">
        <v>697</v>
      </c>
      <c r="B117" s="1" t="s">
        <v>698</v>
      </c>
      <c r="C117" s="1" t="s">
        <v>110</v>
      </c>
      <c r="D117" s="1" t="s">
        <v>70</v>
      </c>
      <c r="E117" s="1" t="s">
        <v>60</v>
      </c>
      <c r="F117" s="1" t="s">
        <v>61</v>
      </c>
      <c r="G117" s="1">
        <v>40</v>
      </c>
      <c r="H117" s="1" t="s">
        <v>204</v>
      </c>
      <c r="I117" s="1" t="s">
        <v>51</v>
      </c>
      <c r="J117" s="1" t="s">
        <v>699</v>
      </c>
      <c r="K117" s="1">
        <v>23.6</v>
      </c>
      <c r="L117" s="1">
        <v>2359433</v>
      </c>
      <c r="M117" s="1">
        <v>23.57</v>
      </c>
      <c r="N117" s="1">
        <v>5</v>
      </c>
      <c r="O117" s="1" t="s">
        <v>64</v>
      </c>
      <c r="P117" s="1" t="s">
        <v>700</v>
      </c>
      <c r="Q117" s="1" t="s">
        <v>701</v>
      </c>
      <c r="R117" s="1">
        <v>37</v>
      </c>
      <c r="S117" s="1">
        <v>8</v>
      </c>
      <c r="T117" s="1" t="s">
        <v>702</v>
      </c>
    </row>
    <row r="118" spans="1:20" x14ac:dyDescent="0.3">
      <c r="A118" s="1" t="s">
        <v>43</v>
      </c>
      <c r="B118" s="1" t="s">
        <v>703</v>
      </c>
      <c r="C118" s="1" t="s">
        <v>124</v>
      </c>
      <c r="D118" s="1" t="s">
        <v>256</v>
      </c>
      <c r="E118" s="1" t="s">
        <v>60</v>
      </c>
      <c r="F118" s="1" t="s">
        <v>61</v>
      </c>
      <c r="G118" s="1">
        <v>58</v>
      </c>
      <c r="H118" s="1" t="s">
        <v>50</v>
      </c>
      <c r="I118" s="1" t="s">
        <v>125</v>
      </c>
      <c r="J118" s="1" t="s">
        <v>704</v>
      </c>
      <c r="K118" s="1">
        <v>15.5</v>
      </c>
      <c r="L118" s="1">
        <v>783744</v>
      </c>
      <c r="M118" s="1">
        <v>10.48</v>
      </c>
      <c r="N118" s="1">
        <v>3</v>
      </c>
      <c r="O118" s="1" t="s">
        <v>41</v>
      </c>
      <c r="P118" s="1" t="s">
        <v>705</v>
      </c>
      <c r="Q118" s="1" t="s">
        <v>706</v>
      </c>
      <c r="R118" s="1">
        <v>53</v>
      </c>
      <c r="S118" s="1">
        <v>40</v>
      </c>
      <c r="T118" s="1" t="s">
        <v>335</v>
      </c>
    </row>
    <row r="119" spans="1:20" x14ac:dyDescent="0.3">
      <c r="A119" s="1" t="s">
        <v>707</v>
      </c>
      <c r="B119" s="1" t="s">
        <v>708</v>
      </c>
      <c r="C119" s="1" t="s">
        <v>46</v>
      </c>
      <c r="D119" s="1" t="s">
        <v>23</v>
      </c>
      <c r="E119" s="1" t="s">
        <v>189</v>
      </c>
      <c r="F119" s="1" t="s">
        <v>133</v>
      </c>
      <c r="G119" s="1">
        <v>40</v>
      </c>
      <c r="H119" s="1" t="s">
        <v>218</v>
      </c>
      <c r="I119" s="1" t="s">
        <v>51</v>
      </c>
      <c r="J119" s="1" t="s">
        <v>709</v>
      </c>
      <c r="K119" s="1">
        <v>21.6</v>
      </c>
      <c r="L119" s="1">
        <v>657496</v>
      </c>
      <c r="M119" s="1">
        <v>22.45</v>
      </c>
      <c r="N119" s="1">
        <v>4</v>
      </c>
      <c r="O119" s="1" t="s">
        <v>41</v>
      </c>
      <c r="P119" s="1" t="s">
        <v>710</v>
      </c>
      <c r="Q119" s="1" t="s">
        <v>711</v>
      </c>
      <c r="R119" s="1">
        <v>66</v>
      </c>
      <c r="S119" s="1">
        <v>46</v>
      </c>
      <c r="T119" s="1" t="s">
        <v>543</v>
      </c>
    </row>
    <row r="120" spans="1:20" x14ac:dyDescent="0.3">
      <c r="A120" s="1" t="s">
        <v>712</v>
      </c>
      <c r="B120" s="1" t="s">
        <v>713</v>
      </c>
      <c r="C120" s="1" t="s">
        <v>124</v>
      </c>
      <c r="D120" s="1" t="s">
        <v>70</v>
      </c>
      <c r="E120" s="1" t="s">
        <v>92</v>
      </c>
      <c r="F120" s="1" t="s">
        <v>93</v>
      </c>
      <c r="G120" s="1">
        <v>56</v>
      </c>
      <c r="H120" s="1" t="s">
        <v>38</v>
      </c>
      <c r="I120" s="1" t="s">
        <v>74</v>
      </c>
      <c r="J120" s="1" t="s">
        <v>714</v>
      </c>
      <c r="K120" s="1"/>
      <c r="L120" s="1">
        <v>438000</v>
      </c>
      <c r="M120" s="1">
        <v>9.73</v>
      </c>
      <c r="N120" s="1">
        <v>3</v>
      </c>
      <c r="O120" s="1" t="s">
        <v>41</v>
      </c>
      <c r="P120" s="1" t="s">
        <v>715</v>
      </c>
      <c r="Q120" s="1" t="s">
        <v>716</v>
      </c>
      <c r="R120" s="1">
        <v>42</v>
      </c>
      <c r="S120" s="1">
        <v>94</v>
      </c>
      <c r="T120" s="1" t="s">
        <v>195</v>
      </c>
    </row>
    <row r="121" spans="1:20" x14ac:dyDescent="0.3">
      <c r="A121" s="1" t="s">
        <v>717</v>
      </c>
      <c r="B121" s="1" t="s">
        <v>718</v>
      </c>
      <c r="C121" s="1" t="s">
        <v>110</v>
      </c>
      <c r="D121" s="1" t="s">
        <v>182</v>
      </c>
      <c r="E121" s="1" t="s">
        <v>175</v>
      </c>
      <c r="F121" s="1" t="s">
        <v>93</v>
      </c>
      <c r="G121" s="1">
        <v>52</v>
      </c>
      <c r="H121" s="1" t="s">
        <v>204</v>
      </c>
      <c r="I121" s="1" t="s">
        <v>51</v>
      </c>
      <c r="J121" s="1" t="s">
        <v>719</v>
      </c>
      <c r="K121" s="1">
        <v>17.2</v>
      </c>
      <c r="L121" s="1">
        <v>2332893</v>
      </c>
      <c r="M121" s="1">
        <v>5.82</v>
      </c>
      <c r="N121" s="1" t="s">
        <v>220</v>
      </c>
      <c r="O121" s="1" t="s">
        <v>76</v>
      </c>
      <c r="P121" s="1" t="s">
        <v>720</v>
      </c>
      <c r="Q121" s="1" t="s">
        <v>721</v>
      </c>
      <c r="R121" s="1">
        <v>31</v>
      </c>
      <c r="S121" s="1">
        <v>34</v>
      </c>
      <c r="T121" s="1" t="s">
        <v>722</v>
      </c>
    </row>
    <row r="122" spans="1:20" x14ac:dyDescent="0.3">
      <c r="A122" s="1" t="s">
        <v>653</v>
      </c>
      <c r="B122" s="1" t="s">
        <v>723</v>
      </c>
      <c r="C122" s="1" t="s">
        <v>82</v>
      </c>
      <c r="D122" s="1" t="s">
        <v>101</v>
      </c>
      <c r="E122" s="1" t="s">
        <v>290</v>
      </c>
      <c r="F122" s="1" t="s">
        <v>49</v>
      </c>
      <c r="G122" s="1">
        <v>38</v>
      </c>
      <c r="H122" s="1" t="s">
        <v>26</v>
      </c>
      <c r="I122" s="1" t="s">
        <v>198</v>
      </c>
      <c r="J122" s="1" t="s">
        <v>724</v>
      </c>
      <c r="K122" s="1">
        <v>27.2</v>
      </c>
      <c r="L122" s="1">
        <v>873693</v>
      </c>
      <c r="M122" s="1">
        <v>19.66</v>
      </c>
      <c r="N122" s="1">
        <v>3</v>
      </c>
      <c r="O122" s="1" t="s">
        <v>41</v>
      </c>
      <c r="P122" s="1" t="s">
        <v>725</v>
      </c>
      <c r="Q122" s="1" t="s">
        <v>726</v>
      </c>
      <c r="R122" s="1">
        <v>46</v>
      </c>
      <c r="S122" s="1">
        <v>116</v>
      </c>
      <c r="T122" s="1" t="s">
        <v>335</v>
      </c>
    </row>
    <row r="123" spans="1:20" x14ac:dyDescent="0.3">
      <c r="A123" s="1" t="s">
        <v>727</v>
      </c>
      <c r="B123" s="1" t="s">
        <v>728</v>
      </c>
      <c r="C123" s="1" t="s">
        <v>69</v>
      </c>
      <c r="D123" s="1" t="s">
        <v>327</v>
      </c>
      <c r="E123" s="1" t="s">
        <v>71</v>
      </c>
      <c r="F123" s="1" t="s">
        <v>133</v>
      </c>
      <c r="G123" s="1">
        <v>34</v>
      </c>
      <c r="H123" s="1" t="s">
        <v>38</v>
      </c>
      <c r="I123" s="1" t="s">
        <v>27</v>
      </c>
      <c r="J123" s="1" t="s">
        <v>729</v>
      </c>
      <c r="K123" s="1">
        <v>18.7</v>
      </c>
      <c r="L123" s="1">
        <v>1007813</v>
      </c>
      <c r="M123" s="1">
        <v>12.35</v>
      </c>
      <c r="N123" s="1">
        <v>5</v>
      </c>
      <c r="O123" s="1" t="s">
        <v>64</v>
      </c>
      <c r="P123" s="1" t="s">
        <v>730</v>
      </c>
      <c r="Q123" s="1" t="s">
        <v>731</v>
      </c>
      <c r="R123" s="1">
        <v>26</v>
      </c>
      <c r="S123" s="1">
        <v>110</v>
      </c>
      <c r="T123" s="1" t="s">
        <v>335</v>
      </c>
    </row>
    <row r="124" spans="1:20" x14ac:dyDescent="0.3">
      <c r="A124" s="1" t="s">
        <v>732</v>
      </c>
      <c r="B124" s="1" t="s">
        <v>733</v>
      </c>
      <c r="C124" s="1" t="s">
        <v>197</v>
      </c>
      <c r="D124" s="1" t="s">
        <v>182</v>
      </c>
      <c r="E124" s="1" t="s">
        <v>92</v>
      </c>
      <c r="F124" s="1" t="s">
        <v>25</v>
      </c>
      <c r="G124" s="1">
        <v>39</v>
      </c>
      <c r="H124" s="1" t="s">
        <v>103</v>
      </c>
      <c r="I124" s="1" t="s">
        <v>85</v>
      </c>
      <c r="J124" s="1" t="s">
        <v>734</v>
      </c>
      <c r="K124" s="1">
        <v>15.9</v>
      </c>
      <c r="L124" s="1">
        <v>1823223</v>
      </c>
      <c r="M124" s="1">
        <v>23.42</v>
      </c>
      <c r="N124" s="1">
        <v>5</v>
      </c>
      <c r="O124" s="1" t="s">
        <v>41</v>
      </c>
      <c r="P124" s="1" t="s">
        <v>735</v>
      </c>
      <c r="Q124" s="1" t="s">
        <v>736</v>
      </c>
      <c r="R124" s="1"/>
      <c r="S124" s="1">
        <v>50</v>
      </c>
      <c r="T124" s="1" t="s">
        <v>408</v>
      </c>
    </row>
    <row r="125" spans="1:20" x14ac:dyDescent="0.3">
      <c r="A125" s="1" t="s">
        <v>737</v>
      </c>
      <c r="B125" s="1" t="s">
        <v>738</v>
      </c>
      <c r="C125" s="1" t="s">
        <v>230</v>
      </c>
      <c r="D125" s="1" t="s">
        <v>217</v>
      </c>
      <c r="E125" s="1" t="s">
        <v>24</v>
      </c>
      <c r="F125" s="1" t="s">
        <v>190</v>
      </c>
      <c r="G125" s="1">
        <v>55</v>
      </c>
      <c r="H125" s="1" t="s">
        <v>26</v>
      </c>
      <c r="I125" s="1" t="s">
        <v>118</v>
      </c>
      <c r="J125" s="1" t="s">
        <v>739</v>
      </c>
      <c r="K125" s="1">
        <v>4.0999999999999996</v>
      </c>
      <c r="L125" s="1">
        <v>1345213</v>
      </c>
      <c r="M125" s="1">
        <v>22.67</v>
      </c>
      <c r="N125" s="1">
        <v>5</v>
      </c>
      <c r="O125" s="1" t="s">
        <v>258</v>
      </c>
      <c r="P125" s="1" t="s">
        <v>740</v>
      </c>
      <c r="Q125" s="1" t="s">
        <v>741</v>
      </c>
      <c r="R125" s="1">
        <v>20</v>
      </c>
      <c r="S125" s="1">
        <v>60</v>
      </c>
      <c r="T125" s="1" t="s">
        <v>457</v>
      </c>
    </row>
    <row r="126" spans="1:20" x14ac:dyDescent="0.3">
      <c r="A126" s="1" t="s">
        <v>742</v>
      </c>
      <c r="B126" s="1" t="s">
        <v>743</v>
      </c>
      <c r="C126" s="1" t="s">
        <v>46</v>
      </c>
      <c r="D126" s="1" t="s">
        <v>47</v>
      </c>
      <c r="E126" s="1" t="s">
        <v>24</v>
      </c>
      <c r="F126" s="1" t="s">
        <v>72</v>
      </c>
      <c r="G126" s="1">
        <v>44</v>
      </c>
      <c r="H126" s="1" t="s">
        <v>73</v>
      </c>
      <c r="I126" s="1" t="s">
        <v>51</v>
      </c>
      <c r="J126" s="1" t="s">
        <v>744</v>
      </c>
      <c r="K126" s="1">
        <v>19.100000000000001</v>
      </c>
      <c r="L126" s="1">
        <v>2493800</v>
      </c>
      <c r="M126" s="1">
        <v>5.19</v>
      </c>
      <c r="N126" s="1">
        <v>5</v>
      </c>
      <c r="O126" s="1" t="s">
        <v>29</v>
      </c>
      <c r="P126" s="1" t="s">
        <v>745</v>
      </c>
      <c r="Q126" s="1" t="s">
        <v>746</v>
      </c>
      <c r="R126" s="1">
        <v>64</v>
      </c>
      <c r="S126" s="1">
        <v>95</v>
      </c>
      <c r="T126" s="1" t="s">
        <v>335</v>
      </c>
    </row>
    <row r="127" spans="1:20" x14ac:dyDescent="0.3">
      <c r="A127" s="1" t="s">
        <v>747</v>
      </c>
      <c r="B127" s="1" t="s">
        <v>748</v>
      </c>
      <c r="C127" s="1" t="s">
        <v>255</v>
      </c>
      <c r="D127" s="1" t="s">
        <v>59</v>
      </c>
      <c r="E127" s="1" t="s">
        <v>60</v>
      </c>
      <c r="F127" s="1" t="s">
        <v>37</v>
      </c>
      <c r="G127" s="1">
        <v>33</v>
      </c>
      <c r="H127" s="1" t="s">
        <v>26</v>
      </c>
      <c r="I127" s="1" t="s">
        <v>74</v>
      </c>
      <c r="J127" s="1" t="s">
        <v>590</v>
      </c>
      <c r="K127" s="1">
        <v>17.100000000000001</v>
      </c>
      <c r="L127" s="1">
        <v>2433800</v>
      </c>
      <c r="M127" s="1">
        <v>8.2200000000000006</v>
      </c>
      <c r="N127" s="1">
        <v>5</v>
      </c>
      <c r="O127" s="1" t="s">
        <v>41</v>
      </c>
      <c r="P127" s="1" t="s">
        <v>749</v>
      </c>
      <c r="Q127" s="1" t="s">
        <v>750</v>
      </c>
      <c r="R127" s="1">
        <v>15</v>
      </c>
      <c r="S127" s="1">
        <v>75</v>
      </c>
      <c r="T127" s="1" t="s">
        <v>573</v>
      </c>
    </row>
    <row r="128" spans="1:20" x14ac:dyDescent="0.3">
      <c r="A128" s="1" t="s">
        <v>751</v>
      </c>
      <c r="B128" s="1" t="s">
        <v>752</v>
      </c>
      <c r="C128" s="1" t="s">
        <v>124</v>
      </c>
      <c r="D128" s="1" t="s">
        <v>70</v>
      </c>
      <c r="E128" s="1" t="s">
        <v>24</v>
      </c>
      <c r="F128" s="1" t="s">
        <v>61</v>
      </c>
      <c r="G128" s="1">
        <v>48</v>
      </c>
      <c r="H128" s="1" t="s">
        <v>73</v>
      </c>
      <c r="I128" s="1" t="s">
        <v>118</v>
      </c>
      <c r="J128" s="1" t="s">
        <v>753</v>
      </c>
      <c r="K128" s="1">
        <v>7.6</v>
      </c>
      <c r="L128" s="1">
        <v>813270</v>
      </c>
      <c r="M128" s="1">
        <v>21.82</v>
      </c>
      <c r="N128" s="1">
        <v>4</v>
      </c>
      <c r="O128" s="1" t="s">
        <v>41</v>
      </c>
      <c r="P128" s="1" t="s">
        <v>754</v>
      </c>
      <c r="Q128" s="1" t="s">
        <v>755</v>
      </c>
      <c r="R128" s="1">
        <v>26</v>
      </c>
      <c r="S128" s="1">
        <v>9</v>
      </c>
      <c r="T128" s="1" t="s">
        <v>756</v>
      </c>
    </row>
    <row r="129" spans="1:20" x14ac:dyDescent="0.3">
      <c r="A129" s="1" t="s">
        <v>757</v>
      </c>
      <c r="B129" s="1" t="s">
        <v>758</v>
      </c>
      <c r="C129" s="1" t="s">
        <v>69</v>
      </c>
      <c r="D129" s="1" t="s">
        <v>47</v>
      </c>
      <c r="E129" s="1" t="s">
        <v>168</v>
      </c>
      <c r="F129" s="1" t="s">
        <v>133</v>
      </c>
      <c r="G129" s="1">
        <v>41</v>
      </c>
      <c r="H129" s="1" t="s">
        <v>73</v>
      </c>
      <c r="I129" s="1" t="s">
        <v>39</v>
      </c>
      <c r="J129" s="1" t="s">
        <v>759</v>
      </c>
      <c r="K129" s="1">
        <v>5.4</v>
      </c>
      <c r="L129" s="1">
        <v>1228241</v>
      </c>
      <c r="M129" s="1">
        <v>8.33</v>
      </c>
      <c r="N129" s="1">
        <v>3</v>
      </c>
      <c r="O129" s="1" t="s">
        <v>76</v>
      </c>
      <c r="P129" s="1" t="s">
        <v>760</v>
      </c>
      <c r="Q129" s="1" t="s">
        <v>761</v>
      </c>
      <c r="R129" s="1">
        <v>70</v>
      </c>
      <c r="S129" s="1">
        <v>6</v>
      </c>
      <c r="T129" s="1" t="s">
        <v>79</v>
      </c>
    </row>
    <row r="130" spans="1:20" x14ac:dyDescent="0.3">
      <c r="A130" s="1" t="s">
        <v>762</v>
      </c>
      <c r="B130" s="1" t="s">
        <v>763</v>
      </c>
      <c r="C130" s="1" t="s">
        <v>124</v>
      </c>
      <c r="D130" s="1" t="s">
        <v>141</v>
      </c>
      <c r="E130" s="1" t="s">
        <v>48</v>
      </c>
      <c r="F130" s="1" t="s">
        <v>190</v>
      </c>
      <c r="G130" s="1">
        <v>15</v>
      </c>
      <c r="H130" s="1" t="s">
        <v>26</v>
      </c>
      <c r="I130" s="1" t="s">
        <v>39</v>
      </c>
      <c r="J130" s="1" t="s">
        <v>764</v>
      </c>
      <c r="K130" s="1">
        <v>25.3</v>
      </c>
      <c r="L130" s="1">
        <v>2236811</v>
      </c>
      <c r="M130" s="1">
        <v>1.99</v>
      </c>
      <c r="N130" s="1">
        <v>2</v>
      </c>
      <c r="O130" s="1" t="s">
        <v>29</v>
      </c>
      <c r="P130" s="1" t="s">
        <v>765</v>
      </c>
      <c r="Q130" s="1" t="s">
        <v>766</v>
      </c>
      <c r="R130" s="1">
        <v>63</v>
      </c>
      <c r="S130" s="1">
        <v>50</v>
      </c>
      <c r="T130" s="1" t="s">
        <v>767</v>
      </c>
    </row>
    <row r="131" spans="1:20" x14ac:dyDescent="0.3">
      <c r="A131" s="1" t="s">
        <v>768</v>
      </c>
      <c r="B131" s="1" t="s">
        <v>769</v>
      </c>
      <c r="C131" s="1" t="s">
        <v>82</v>
      </c>
      <c r="D131" s="1" t="s">
        <v>231</v>
      </c>
      <c r="E131" s="1" t="s">
        <v>92</v>
      </c>
      <c r="F131" s="1" t="s">
        <v>93</v>
      </c>
      <c r="G131" s="1">
        <v>55</v>
      </c>
      <c r="H131" s="1" t="s">
        <v>142</v>
      </c>
      <c r="I131" s="1" t="s">
        <v>118</v>
      </c>
      <c r="J131" s="1" t="s">
        <v>770</v>
      </c>
      <c r="K131" s="1">
        <v>17.100000000000001</v>
      </c>
      <c r="L131" s="1">
        <v>1227031</v>
      </c>
      <c r="M131" s="1">
        <v>3.21</v>
      </c>
      <c r="N131" s="1">
        <v>5</v>
      </c>
      <c r="O131" s="1" t="s">
        <v>258</v>
      </c>
      <c r="P131" s="1" t="s">
        <v>771</v>
      </c>
      <c r="Q131" s="1" t="s">
        <v>772</v>
      </c>
      <c r="R131" s="1">
        <v>49</v>
      </c>
      <c r="S131" s="1">
        <v>29</v>
      </c>
      <c r="T131" s="1" t="s">
        <v>543</v>
      </c>
    </row>
    <row r="132" spans="1:20" x14ac:dyDescent="0.3">
      <c r="A132" s="1" t="s">
        <v>773</v>
      </c>
      <c r="B132" s="1" t="s">
        <v>774</v>
      </c>
      <c r="C132" s="1" t="s">
        <v>100</v>
      </c>
      <c r="D132" s="1" t="s">
        <v>141</v>
      </c>
      <c r="E132" s="1" t="s">
        <v>175</v>
      </c>
      <c r="F132" s="1" t="s">
        <v>25</v>
      </c>
      <c r="G132" s="1">
        <v>40</v>
      </c>
      <c r="H132" s="1" t="s">
        <v>142</v>
      </c>
      <c r="I132" s="1" t="s">
        <v>118</v>
      </c>
      <c r="J132" s="1" t="s">
        <v>775</v>
      </c>
      <c r="K132" s="1">
        <v>21.9</v>
      </c>
      <c r="L132" s="1">
        <v>836636</v>
      </c>
      <c r="M132" s="1">
        <v>14.64</v>
      </c>
      <c r="N132" s="1">
        <v>2</v>
      </c>
      <c r="O132" s="1" t="s">
        <v>41</v>
      </c>
      <c r="P132" s="1" t="s">
        <v>776</v>
      </c>
      <c r="Q132" s="1" t="s">
        <v>777</v>
      </c>
      <c r="R132" s="1">
        <v>15</v>
      </c>
      <c r="S132" s="1">
        <v>110</v>
      </c>
      <c r="T132" s="1" t="s">
        <v>677</v>
      </c>
    </row>
    <row r="133" spans="1:20" x14ac:dyDescent="0.3">
      <c r="A133" s="1" t="s">
        <v>778</v>
      </c>
      <c r="B133" s="1" t="s">
        <v>779</v>
      </c>
      <c r="C133" s="1" t="s">
        <v>46</v>
      </c>
      <c r="D133" s="1" t="s">
        <v>83</v>
      </c>
      <c r="E133" s="1" t="s">
        <v>290</v>
      </c>
      <c r="F133" s="1" t="s">
        <v>25</v>
      </c>
      <c r="G133" s="1">
        <v>25</v>
      </c>
      <c r="H133" s="1" t="s">
        <v>142</v>
      </c>
      <c r="I133" s="1" t="s">
        <v>27</v>
      </c>
      <c r="J133" s="1" t="s">
        <v>780</v>
      </c>
      <c r="K133" s="1">
        <v>4.5</v>
      </c>
      <c r="L133" s="1">
        <v>2046960</v>
      </c>
      <c r="M133" s="1">
        <v>9.43</v>
      </c>
      <c r="N133" s="1">
        <v>4</v>
      </c>
      <c r="O133" s="1" t="s">
        <v>41</v>
      </c>
      <c r="P133" s="1" t="s">
        <v>781</v>
      </c>
      <c r="Q133" s="1" t="s">
        <v>782</v>
      </c>
      <c r="R133" s="1">
        <v>5</v>
      </c>
      <c r="S133" s="1">
        <v>24</v>
      </c>
      <c r="T133" s="1" t="s">
        <v>599</v>
      </c>
    </row>
    <row r="134" spans="1:20" x14ac:dyDescent="0.3">
      <c r="A134" s="1" t="s">
        <v>783</v>
      </c>
      <c r="B134" s="1" t="s">
        <v>433</v>
      </c>
      <c r="C134" s="1" t="s">
        <v>230</v>
      </c>
      <c r="D134" s="1" t="s">
        <v>217</v>
      </c>
      <c r="E134" s="1" t="s">
        <v>36</v>
      </c>
      <c r="F134" s="1" t="s">
        <v>93</v>
      </c>
      <c r="G134" s="1">
        <v>41</v>
      </c>
      <c r="H134" s="1" t="s">
        <v>103</v>
      </c>
      <c r="I134" s="1" t="s">
        <v>51</v>
      </c>
      <c r="J134" s="1" t="s">
        <v>784</v>
      </c>
      <c r="K134" s="1">
        <v>25.5</v>
      </c>
      <c r="L134" s="1">
        <v>817845</v>
      </c>
      <c r="M134" s="1">
        <v>23.36</v>
      </c>
      <c r="N134" s="1">
        <v>3</v>
      </c>
      <c r="O134" s="1" t="s">
        <v>41</v>
      </c>
      <c r="P134" s="1" t="s">
        <v>785</v>
      </c>
      <c r="Q134" s="1" t="s">
        <v>786</v>
      </c>
      <c r="R134" s="1">
        <v>6</v>
      </c>
      <c r="S134" s="1">
        <v>99</v>
      </c>
      <c r="T134" s="1" t="s">
        <v>505</v>
      </c>
    </row>
    <row r="135" spans="1:20" x14ac:dyDescent="0.3">
      <c r="A135" s="1" t="s">
        <v>787</v>
      </c>
      <c r="B135" s="1" t="s">
        <v>788</v>
      </c>
      <c r="C135" s="1" t="s">
        <v>69</v>
      </c>
      <c r="D135" s="1" t="s">
        <v>70</v>
      </c>
      <c r="E135" s="1" t="s">
        <v>36</v>
      </c>
      <c r="F135" s="1" t="s">
        <v>190</v>
      </c>
      <c r="G135" s="1">
        <v>29</v>
      </c>
      <c r="H135" s="1" t="s">
        <v>142</v>
      </c>
      <c r="I135" s="1" t="s">
        <v>39</v>
      </c>
      <c r="J135" s="1" t="s">
        <v>789</v>
      </c>
      <c r="K135" s="1">
        <v>22.7</v>
      </c>
      <c r="L135" s="1">
        <v>1472171</v>
      </c>
      <c r="M135" s="1">
        <v>21.84</v>
      </c>
      <c r="N135" s="1">
        <v>4</v>
      </c>
      <c r="O135" s="1" t="s">
        <v>41</v>
      </c>
      <c r="P135" s="1" t="s">
        <v>790</v>
      </c>
      <c r="Q135" s="1" t="s">
        <v>791</v>
      </c>
      <c r="R135" s="1">
        <v>41</v>
      </c>
      <c r="S135" s="1">
        <v>29</v>
      </c>
      <c r="T135" s="1" t="s">
        <v>309</v>
      </c>
    </row>
    <row r="136" spans="1:20" x14ac:dyDescent="0.3">
      <c r="A136" s="1" t="s">
        <v>792</v>
      </c>
      <c r="B136" s="1" t="s">
        <v>793</v>
      </c>
      <c r="C136" s="1" t="s">
        <v>124</v>
      </c>
      <c r="D136" s="1" t="s">
        <v>111</v>
      </c>
      <c r="E136" s="1" t="s">
        <v>175</v>
      </c>
      <c r="F136" s="1" t="s">
        <v>93</v>
      </c>
      <c r="G136" s="1">
        <v>55</v>
      </c>
      <c r="H136" s="1" t="s">
        <v>50</v>
      </c>
      <c r="I136" s="1" t="s">
        <v>125</v>
      </c>
      <c r="J136" s="1" t="s">
        <v>794</v>
      </c>
      <c r="K136" s="1">
        <v>4.7</v>
      </c>
      <c r="L136" s="1">
        <v>2200442</v>
      </c>
      <c r="M136" s="1">
        <v>19.61</v>
      </c>
      <c r="N136" s="1">
        <v>3</v>
      </c>
      <c r="O136" s="1" t="s">
        <v>41</v>
      </c>
      <c r="P136" s="1" t="s">
        <v>795</v>
      </c>
      <c r="Q136" s="1" t="s">
        <v>796</v>
      </c>
      <c r="R136" s="1">
        <v>22</v>
      </c>
      <c r="S136" s="1">
        <v>60</v>
      </c>
      <c r="T136" s="1" t="s">
        <v>797</v>
      </c>
    </row>
    <row r="137" spans="1:20" x14ac:dyDescent="0.3">
      <c r="A137" s="1" t="s">
        <v>798</v>
      </c>
      <c r="B137" s="1" t="s">
        <v>799</v>
      </c>
      <c r="C137" s="1" t="s">
        <v>197</v>
      </c>
      <c r="D137" s="1" t="s">
        <v>47</v>
      </c>
      <c r="E137" s="1" t="s">
        <v>71</v>
      </c>
      <c r="F137" s="1" t="s">
        <v>49</v>
      </c>
      <c r="G137" s="1">
        <v>29</v>
      </c>
      <c r="H137" s="1" t="s">
        <v>38</v>
      </c>
      <c r="I137" s="1" t="s">
        <v>39</v>
      </c>
      <c r="J137" s="1" t="s">
        <v>800</v>
      </c>
      <c r="K137" s="1">
        <v>29.5</v>
      </c>
      <c r="L137" s="1">
        <v>321866</v>
      </c>
      <c r="M137" s="1">
        <v>17.87</v>
      </c>
      <c r="N137" s="1">
        <v>4</v>
      </c>
      <c r="O137" s="1" t="s">
        <v>41</v>
      </c>
      <c r="P137" s="1" t="s">
        <v>801</v>
      </c>
      <c r="Q137" s="1" t="s">
        <v>802</v>
      </c>
      <c r="R137" s="1">
        <v>48</v>
      </c>
      <c r="S137" s="1">
        <v>31</v>
      </c>
      <c r="T137" s="1" t="s">
        <v>573</v>
      </c>
    </row>
    <row r="138" spans="1:20" x14ac:dyDescent="0.3">
      <c r="A138" s="1" t="s">
        <v>559</v>
      </c>
      <c r="B138" s="1" t="s">
        <v>803</v>
      </c>
      <c r="C138" s="1" t="s">
        <v>197</v>
      </c>
      <c r="D138" s="1" t="s">
        <v>59</v>
      </c>
      <c r="E138" s="1" t="s">
        <v>290</v>
      </c>
      <c r="F138" s="1" t="s">
        <v>49</v>
      </c>
      <c r="G138" s="1">
        <v>50</v>
      </c>
      <c r="H138" s="1" t="s">
        <v>50</v>
      </c>
      <c r="I138" s="1" t="s">
        <v>118</v>
      </c>
      <c r="J138" s="1" t="s">
        <v>804</v>
      </c>
      <c r="K138" s="1">
        <v>29.6</v>
      </c>
      <c r="L138" s="1">
        <v>1568848</v>
      </c>
      <c r="M138" s="1">
        <v>3.89</v>
      </c>
      <c r="N138" s="1">
        <v>2</v>
      </c>
      <c r="O138" s="1" t="s">
        <v>41</v>
      </c>
      <c r="P138" s="1" t="s">
        <v>805</v>
      </c>
      <c r="Q138" s="1" t="s">
        <v>806</v>
      </c>
      <c r="R138" s="1">
        <v>26</v>
      </c>
      <c r="S138" s="1">
        <v>26</v>
      </c>
      <c r="T138" s="1" t="s">
        <v>107</v>
      </c>
    </row>
    <row r="139" spans="1:20" x14ac:dyDescent="0.3">
      <c r="A139" s="1" t="s">
        <v>807</v>
      </c>
      <c r="B139" s="1" t="s">
        <v>808</v>
      </c>
      <c r="C139" s="1" t="s">
        <v>132</v>
      </c>
      <c r="D139" s="1" t="s">
        <v>182</v>
      </c>
      <c r="E139" s="1" t="s">
        <v>24</v>
      </c>
      <c r="F139" s="1" t="s">
        <v>190</v>
      </c>
      <c r="G139" s="1">
        <v>40</v>
      </c>
      <c r="H139" s="1" t="s">
        <v>73</v>
      </c>
      <c r="I139" s="1" t="s">
        <v>39</v>
      </c>
      <c r="J139" s="1" t="s">
        <v>809</v>
      </c>
      <c r="K139" s="1">
        <v>18.600000000000001</v>
      </c>
      <c r="L139" s="1">
        <v>1431578</v>
      </c>
      <c r="M139" s="1">
        <v>1.29</v>
      </c>
      <c r="N139" s="1">
        <v>3</v>
      </c>
      <c r="O139" s="1" t="s">
        <v>76</v>
      </c>
      <c r="P139" s="1" t="s">
        <v>810</v>
      </c>
      <c r="Q139" s="1" t="s">
        <v>811</v>
      </c>
      <c r="R139" s="1">
        <v>59</v>
      </c>
      <c r="S139" s="1">
        <v>46</v>
      </c>
      <c r="T139" s="1" t="s">
        <v>812</v>
      </c>
    </row>
    <row r="140" spans="1:20" x14ac:dyDescent="0.3">
      <c r="A140" s="1" t="s">
        <v>813</v>
      </c>
      <c r="B140" s="1" t="s">
        <v>814</v>
      </c>
      <c r="C140" s="1" t="s">
        <v>255</v>
      </c>
      <c r="D140" s="1" t="s">
        <v>256</v>
      </c>
      <c r="E140" s="1" t="s">
        <v>290</v>
      </c>
      <c r="F140" s="1" t="s">
        <v>61</v>
      </c>
      <c r="G140" s="1">
        <v>28</v>
      </c>
      <c r="H140" s="1" t="s">
        <v>103</v>
      </c>
      <c r="I140" s="1" t="s">
        <v>27</v>
      </c>
      <c r="J140" s="1" t="s">
        <v>815</v>
      </c>
      <c r="K140" s="1">
        <v>6.7</v>
      </c>
      <c r="L140" s="1">
        <v>2370833</v>
      </c>
      <c r="M140" s="1">
        <v>15.44</v>
      </c>
      <c r="N140" s="1">
        <v>3</v>
      </c>
      <c r="O140" s="1" t="s">
        <v>64</v>
      </c>
      <c r="P140" s="1" t="s">
        <v>816</v>
      </c>
      <c r="Q140" s="1" t="s">
        <v>817</v>
      </c>
      <c r="R140" s="1">
        <v>28</v>
      </c>
      <c r="S140" s="1">
        <v>43</v>
      </c>
      <c r="T140" s="1" t="s">
        <v>516</v>
      </c>
    </row>
    <row r="141" spans="1:20" x14ac:dyDescent="0.3">
      <c r="A141" s="1" t="s">
        <v>115</v>
      </c>
      <c r="B141" s="1" t="s">
        <v>818</v>
      </c>
      <c r="C141" s="1" t="s">
        <v>69</v>
      </c>
      <c r="D141" s="1" t="s">
        <v>141</v>
      </c>
      <c r="E141" s="1" t="s">
        <v>175</v>
      </c>
      <c r="F141" s="1" t="s">
        <v>49</v>
      </c>
      <c r="G141" s="1">
        <v>27</v>
      </c>
      <c r="H141" s="1" t="s">
        <v>218</v>
      </c>
      <c r="I141" s="1" t="s">
        <v>118</v>
      </c>
      <c r="J141" s="1" t="s">
        <v>819</v>
      </c>
      <c r="K141" s="1">
        <v>21.7</v>
      </c>
      <c r="L141" s="1">
        <v>1970003</v>
      </c>
      <c r="M141" s="1">
        <v>21.95</v>
      </c>
      <c r="N141" s="1">
        <v>3</v>
      </c>
      <c r="O141" s="1" t="s">
        <v>41</v>
      </c>
      <c r="P141" s="1" t="s">
        <v>820</v>
      </c>
      <c r="Q141" s="1" t="s">
        <v>821</v>
      </c>
      <c r="R141" s="1">
        <v>75</v>
      </c>
      <c r="S141" s="1">
        <v>16</v>
      </c>
      <c r="T141" s="1" t="s">
        <v>115</v>
      </c>
    </row>
    <row r="142" spans="1:20" x14ac:dyDescent="0.3">
      <c r="A142" s="1" t="s">
        <v>822</v>
      </c>
      <c r="B142" s="1" t="s">
        <v>823</v>
      </c>
      <c r="C142" s="1" t="s">
        <v>58</v>
      </c>
      <c r="D142" s="1" t="s">
        <v>101</v>
      </c>
      <c r="E142" s="1" t="s">
        <v>290</v>
      </c>
      <c r="F142" s="1" t="s">
        <v>93</v>
      </c>
      <c r="G142" s="1">
        <v>40</v>
      </c>
      <c r="H142" s="1" t="s">
        <v>142</v>
      </c>
      <c r="I142" s="1" t="s">
        <v>125</v>
      </c>
      <c r="J142" s="1" t="s">
        <v>824</v>
      </c>
      <c r="K142" s="1">
        <v>7.1</v>
      </c>
      <c r="L142" s="1">
        <v>1974703</v>
      </c>
      <c r="M142" s="1">
        <v>23.99</v>
      </c>
      <c r="N142" s="1">
        <v>4</v>
      </c>
      <c r="O142" s="1" t="s">
        <v>258</v>
      </c>
      <c r="P142" s="1" t="s">
        <v>825</v>
      </c>
      <c r="Q142" s="1" t="s">
        <v>826</v>
      </c>
      <c r="R142" s="1">
        <v>55</v>
      </c>
      <c r="S142" s="1">
        <v>42</v>
      </c>
      <c r="T142" s="1" t="s">
        <v>252</v>
      </c>
    </row>
    <row r="143" spans="1:20" x14ac:dyDescent="0.3">
      <c r="A143" s="1" t="s">
        <v>827</v>
      </c>
      <c r="B143" s="1" t="s">
        <v>828</v>
      </c>
      <c r="C143" s="1" t="s">
        <v>230</v>
      </c>
      <c r="D143" s="1" t="s">
        <v>327</v>
      </c>
      <c r="E143" s="1" t="s">
        <v>48</v>
      </c>
      <c r="F143" s="1" t="s">
        <v>49</v>
      </c>
      <c r="G143" s="1">
        <v>53</v>
      </c>
      <c r="H143" s="1" t="s">
        <v>204</v>
      </c>
      <c r="I143" s="1" t="s">
        <v>39</v>
      </c>
      <c r="J143" s="1" t="s">
        <v>829</v>
      </c>
      <c r="K143" s="1"/>
      <c r="L143" s="1">
        <v>397573</v>
      </c>
      <c r="M143" s="1">
        <v>2.2400000000000002</v>
      </c>
      <c r="N143" s="1">
        <v>2</v>
      </c>
      <c r="O143" s="1" t="s">
        <v>64</v>
      </c>
      <c r="P143" s="1" t="s">
        <v>830</v>
      </c>
      <c r="Q143" s="1" t="s">
        <v>831</v>
      </c>
      <c r="R143" s="1">
        <v>52</v>
      </c>
      <c r="S143" s="1">
        <v>7</v>
      </c>
      <c r="T143" s="1" t="s">
        <v>832</v>
      </c>
    </row>
    <row r="144" spans="1:20" x14ac:dyDescent="0.3">
      <c r="A144" s="1" t="s">
        <v>335</v>
      </c>
      <c r="B144" s="1" t="s">
        <v>833</v>
      </c>
      <c r="C144" s="1" t="s">
        <v>35</v>
      </c>
      <c r="D144" s="1" t="s">
        <v>182</v>
      </c>
      <c r="E144" s="1" t="s">
        <v>168</v>
      </c>
      <c r="F144" s="1" t="s">
        <v>25</v>
      </c>
      <c r="G144" s="1">
        <v>30</v>
      </c>
      <c r="H144" s="1" t="s">
        <v>204</v>
      </c>
      <c r="I144" s="1" t="s">
        <v>125</v>
      </c>
      <c r="J144" s="1" t="s">
        <v>834</v>
      </c>
      <c r="K144" s="1">
        <v>15</v>
      </c>
      <c r="L144" s="1">
        <v>456078</v>
      </c>
      <c r="M144" s="1">
        <v>10.37</v>
      </c>
      <c r="N144" s="1">
        <v>3</v>
      </c>
      <c r="O144" s="1" t="s">
        <v>64</v>
      </c>
      <c r="P144" s="1" t="s">
        <v>835</v>
      </c>
      <c r="Q144" s="1" t="s">
        <v>836</v>
      </c>
      <c r="R144" s="1">
        <v>62</v>
      </c>
      <c r="S144" s="1">
        <v>120</v>
      </c>
      <c r="T144" s="1"/>
    </row>
    <row r="145" spans="1:20" x14ac:dyDescent="0.3">
      <c r="A145" s="1" t="s">
        <v>837</v>
      </c>
      <c r="B145" s="1" t="s">
        <v>838</v>
      </c>
      <c r="C145" s="1" t="s">
        <v>69</v>
      </c>
      <c r="D145" s="1" t="s">
        <v>244</v>
      </c>
      <c r="E145" s="1" t="s">
        <v>155</v>
      </c>
      <c r="F145" s="1" t="s">
        <v>49</v>
      </c>
      <c r="G145" s="1">
        <v>25</v>
      </c>
      <c r="H145" s="1" t="s">
        <v>38</v>
      </c>
      <c r="I145" s="1" t="s">
        <v>118</v>
      </c>
      <c r="J145" s="1" t="s">
        <v>839</v>
      </c>
      <c r="K145" s="1">
        <v>18.5</v>
      </c>
      <c r="L145" s="1">
        <v>2153540</v>
      </c>
      <c r="M145" s="1">
        <v>14.99</v>
      </c>
      <c r="N145" s="1">
        <v>5</v>
      </c>
      <c r="O145" s="1" t="s">
        <v>29</v>
      </c>
      <c r="P145" s="1" t="s">
        <v>840</v>
      </c>
      <c r="Q145" s="1" t="s">
        <v>841</v>
      </c>
      <c r="R145" s="1">
        <v>1</v>
      </c>
      <c r="S145" s="1">
        <v>59</v>
      </c>
      <c r="T145" s="1" t="s">
        <v>797</v>
      </c>
    </row>
    <row r="146" spans="1:20" x14ac:dyDescent="0.3">
      <c r="A146" s="1" t="s">
        <v>842</v>
      </c>
      <c r="B146" s="1" t="s">
        <v>843</v>
      </c>
      <c r="C146" s="1" t="s">
        <v>46</v>
      </c>
      <c r="D146" s="1" t="s">
        <v>70</v>
      </c>
      <c r="E146" s="1" t="s">
        <v>36</v>
      </c>
      <c r="F146" s="1" t="s">
        <v>49</v>
      </c>
      <c r="G146" s="1">
        <v>53</v>
      </c>
      <c r="H146" s="1" t="s">
        <v>62</v>
      </c>
      <c r="I146" s="1" t="s">
        <v>74</v>
      </c>
      <c r="J146" s="1" t="s">
        <v>844</v>
      </c>
      <c r="K146" s="1">
        <v>9.4</v>
      </c>
      <c r="L146" s="1" t="s">
        <v>591</v>
      </c>
      <c r="M146" s="1">
        <v>21.41</v>
      </c>
      <c r="N146" s="1">
        <v>5</v>
      </c>
      <c r="O146" s="1" t="s">
        <v>41</v>
      </c>
      <c r="P146" s="1" t="s">
        <v>845</v>
      </c>
      <c r="Q146" s="1" t="s">
        <v>846</v>
      </c>
      <c r="R146" s="1">
        <v>18</v>
      </c>
      <c r="S146" s="1">
        <v>3</v>
      </c>
      <c r="T146" s="1" t="s">
        <v>847</v>
      </c>
    </row>
    <row r="147" spans="1:20" x14ac:dyDescent="0.3">
      <c r="A147" s="1" t="s">
        <v>848</v>
      </c>
      <c r="B147" s="1" t="s">
        <v>616</v>
      </c>
      <c r="C147" s="1" t="s">
        <v>82</v>
      </c>
      <c r="D147" s="1" t="s">
        <v>141</v>
      </c>
      <c r="E147" s="1" t="s">
        <v>102</v>
      </c>
      <c r="F147" s="1" t="s">
        <v>93</v>
      </c>
      <c r="G147" s="1">
        <v>38</v>
      </c>
      <c r="H147" s="1" t="s">
        <v>62</v>
      </c>
      <c r="I147" s="1" t="s">
        <v>125</v>
      </c>
      <c r="J147" s="1" t="s">
        <v>849</v>
      </c>
      <c r="K147" s="1">
        <v>26.7</v>
      </c>
      <c r="L147" s="1">
        <v>1553312</v>
      </c>
      <c r="M147" s="1">
        <v>14.53</v>
      </c>
      <c r="N147" s="1" t="s">
        <v>220</v>
      </c>
      <c r="O147" s="1" t="s">
        <v>135</v>
      </c>
      <c r="P147" s="1" t="s">
        <v>850</v>
      </c>
      <c r="Q147" s="1"/>
      <c r="R147" s="1">
        <v>76</v>
      </c>
      <c r="S147" s="1">
        <v>98</v>
      </c>
      <c r="T147" s="1" t="s">
        <v>419</v>
      </c>
    </row>
    <row r="148" spans="1:20" x14ac:dyDescent="0.3">
      <c r="A148" s="1" t="s">
        <v>629</v>
      </c>
      <c r="B148" s="1" t="s">
        <v>851</v>
      </c>
      <c r="C148" s="1" t="s">
        <v>132</v>
      </c>
      <c r="D148" s="1" t="s">
        <v>23</v>
      </c>
      <c r="E148" s="1" t="s">
        <v>92</v>
      </c>
      <c r="F148" s="1" t="s">
        <v>37</v>
      </c>
      <c r="G148" s="1">
        <v>56</v>
      </c>
      <c r="H148" s="1" t="s">
        <v>218</v>
      </c>
      <c r="I148" s="1" t="s">
        <v>39</v>
      </c>
      <c r="J148" s="1" t="s">
        <v>852</v>
      </c>
      <c r="K148" s="1">
        <v>2.5</v>
      </c>
      <c r="L148" s="1">
        <v>1767840</v>
      </c>
      <c r="M148" s="1">
        <v>5.45</v>
      </c>
      <c r="N148" s="1">
        <v>1</v>
      </c>
      <c r="O148" s="1" t="s">
        <v>41</v>
      </c>
      <c r="P148" s="1" t="s">
        <v>853</v>
      </c>
      <c r="Q148" s="1" t="s">
        <v>854</v>
      </c>
      <c r="R148" s="1">
        <v>47</v>
      </c>
      <c r="S148" s="1">
        <v>77</v>
      </c>
      <c r="T148" s="1" t="s">
        <v>43</v>
      </c>
    </row>
    <row r="149" spans="1:20" x14ac:dyDescent="0.3">
      <c r="A149" s="1" t="s">
        <v>855</v>
      </c>
      <c r="B149" s="1" t="s">
        <v>856</v>
      </c>
      <c r="C149" s="1" t="s">
        <v>35</v>
      </c>
      <c r="D149" s="1" t="s">
        <v>256</v>
      </c>
      <c r="E149" s="1" t="s">
        <v>36</v>
      </c>
      <c r="F149" s="1" t="s">
        <v>190</v>
      </c>
      <c r="G149" s="1">
        <v>27</v>
      </c>
      <c r="H149" s="1" t="s">
        <v>204</v>
      </c>
      <c r="I149" s="1" t="s">
        <v>125</v>
      </c>
      <c r="J149" s="1" t="s">
        <v>857</v>
      </c>
      <c r="K149" s="1">
        <v>13.7</v>
      </c>
      <c r="L149" s="1">
        <v>845525</v>
      </c>
      <c r="M149" s="1">
        <v>23.7</v>
      </c>
      <c r="N149" s="1">
        <v>3</v>
      </c>
      <c r="O149" s="1" t="s">
        <v>135</v>
      </c>
      <c r="P149" s="1" t="s">
        <v>858</v>
      </c>
      <c r="Q149" s="1" t="s">
        <v>859</v>
      </c>
      <c r="R149" s="1">
        <v>53</v>
      </c>
      <c r="S149" s="1">
        <v>18</v>
      </c>
      <c r="T149" s="1" t="s">
        <v>227</v>
      </c>
    </row>
    <row r="150" spans="1:20" x14ac:dyDescent="0.3">
      <c r="A150" s="1" t="s">
        <v>860</v>
      </c>
      <c r="B150" s="1" t="s">
        <v>861</v>
      </c>
      <c r="C150" s="1" t="s">
        <v>22</v>
      </c>
      <c r="D150" s="1" t="s">
        <v>23</v>
      </c>
      <c r="E150" s="1" t="s">
        <v>189</v>
      </c>
      <c r="F150" s="1" t="s">
        <v>61</v>
      </c>
      <c r="G150" s="1">
        <v>31</v>
      </c>
      <c r="H150" s="1" t="s">
        <v>73</v>
      </c>
      <c r="I150" s="1" t="s">
        <v>85</v>
      </c>
      <c r="J150" s="1" t="s">
        <v>862</v>
      </c>
      <c r="K150" s="1">
        <v>24.6</v>
      </c>
      <c r="L150" s="1">
        <v>358511</v>
      </c>
      <c r="M150" s="1">
        <v>3.96</v>
      </c>
      <c r="N150" s="1">
        <v>1</v>
      </c>
      <c r="O150" s="1" t="s">
        <v>41</v>
      </c>
      <c r="P150" s="1" t="s">
        <v>863</v>
      </c>
      <c r="Q150" s="1" t="s">
        <v>864</v>
      </c>
      <c r="R150" s="1">
        <v>70</v>
      </c>
      <c r="S150" s="1">
        <v>24</v>
      </c>
      <c r="T150" s="1" t="s">
        <v>865</v>
      </c>
    </row>
    <row r="151" spans="1:20" x14ac:dyDescent="0.3">
      <c r="A151" s="1" t="s">
        <v>288</v>
      </c>
      <c r="B151" s="1" t="s">
        <v>866</v>
      </c>
      <c r="C151" s="1" t="s">
        <v>58</v>
      </c>
      <c r="D151" s="1" t="s">
        <v>59</v>
      </c>
      <c r="E151" s="1" t="s">
        <v>155</v>
      </c>
      <c r="F151" s="1" t="s">
        <v>72</v>
      </c>
      <c r="G151" s="1">
        <v>57</v>
      </c>
      <c r="H151" s="1" t="s">
        <v>204</v>
      </c>
      <c r="I151" s="1" t="s">
        <v>125</v>
      </c>
      <c r="J151" s="1" t="s">
        <v>867</v>
      </c>
      <c r="K151" s="1"/>
      <c r="L151" s="1">
        <v>942261</v>
      </c>
      <c r="M151" s="1">
        <v>15.44</v>
      </c>
      <c r="N151" s="1">
        <v>5</v>
      </c>
      <c r="O151" s="1" t="s">
        <v>41</v>
      </c>
      <c r="P151" s="1" t="s">
        <v>868</v>
      </c>
      <c r="Q151" s="1" t="s">
        <v>869</v>
      </c>
      <c r="R151" s="1">
        <v>13</v>
      </c>
      <c r="S151" s="1">
        <v>77</v>
      </c>
      <c r="T151" s="1" t="s">
        <v>165</v>
      </c>
    </row>
    <row r="152" spans="1:20" x14ac:dyDescent="0.3">
      <c r="A152" s="1" t="s">
        <v>702</v>
      </c>
      <c r="B152" s="1" t="s">
        <v>870</v>
      </c>
      <c r="C152" s="1" t="s">
        <v>216</v>
      </c>
      <c r="D152" s="1" t="s">
        <v>47</v>
      </c>
      <c r="E152" s="1" t="s">
        <v>24</v>
      </c>
      <c r="F152" s="1" t="s">
        <v>190</v>
      </c>
      <c r="G152" s="1">
        <v>33</v>
      </c>
      <c r="H152" s="1" t="s">
        <v>38</v>
      </c>
      <c r="I152" s="1" t="s">
        <v>85</v>
      </c>
      <c r="J152" s="1" t="s">
        <v>871</v>
      </c>
      <c r="K152" s="1">
        <v>10.199999999999999</v>
      </c>
      <c r="L152" s="1">
        <v>1647258</v>
      </c>
      <c r="M152" s="1">
        <v>24.5</v>
      </c>
      <c r="N152" s="1">
        <v>4</v>
      </c>
      <c r="O152" s="1" t="s">
        <v>76</v>
      </c>
      <c r="P152" s="1" t="s">
        <v>872</v>
      </c>
      <c r="Q152" s="1" t="s">
        <v>873</v>
      </c>
      <c r="R152" s="1">
        <v>9</v>
      </c>
      <c r="S152" s="1">
        <v>51</v>
      </c>
      <c r="T152" s="1" t="s">
        <v>812</v>
      </c>
    </row>
    <row r="153" spans="1:20" x14ac:dyDescent="0.3">
      <c r="A153" s="1" t="s">
        <v>874</v>
      </c>
      <c r="B153" s="1" t="s">
        <v>875</v>
      </c>
      <c r="C153" s="1" t="s">
        <v>82</v>
      </c>
      <c r="D153" s="1" t="s">
        <v>111</v>
      </c>
      <c r="E153" s="1" t="s">
        <v>36</v>
      </c>
      <c r="F153" s="1" t="s">
        <v>61</v>
      </c>
      <c r="G153" s="1">
        <v>58</v>
      </c>
      <c r="H153" s="1" t="s">
        <v>204</v>
      </c>
      <c r="I153" s="1" t="s">
        <v>118</v>
      </c>
      <c r="J153" s="1" t="s">
        <v>876</v>
      </c>
      <c r="K153" s="1">
        <v>16.2</v>
      </c>
      <c r="L153" s="1">
        <v>1631675</v>
      </c>
      <c r="M153" s="1">
        <v>22.35</v>
      </c>
      <c r="N153" s="1">
        <v>1</v>
      </c>
      <c r="O153" s="1" t="s">
        <v>29</v>
      </c>
      <c r="P153" s="1" t="s">
        <v>877</v>
      </c>
      <c r="Q153" s="1" t="s">
        <v>878</v>
      </c>
      <c r="R153" s="1">
        <v>35</v>
      </c>
      <c r="S153" s="1">
        <v>24</v>
      </c>
      <c r="T153" s="1" t="s">
        <v>573</v>
      </c>
    </row>
    <row r="154" spans="1:20" x14ac:dyDescent="0.3">
      <c r="A154" s="1" t="s">
        <v>879</v>
      </c>
      <c r="B154" s="1" t="s">
        <v>880</v>
      </c>
      <c r="C154" s="1" t="s">
        <v>58</v>
      </c>
      <c r="D154" s="1" t="s">
        <v>231</v>
      </c>
      <c r="E154" s="1" t="s">
        <v>24</v>
      </c>
      <c r="F154" s="1" t="s">
        <v>93</v>
      </c>
      <c r="G154" s="1">
        <v>34</v>
      </c>
      <c r="H154" s="1" t="s">
        <v>103</v>
      </c>
      <c r="I154" s="1" t="s">
        <v>198</v>
      </c>
      <c r="J154" s="1" t="s">
        <v>881</v>
      </c>
      <c r="K154" s="1">
        <v>16.600000000000001</v>
      </c>
      <c r="L154" s="1">
        <v>713715</v>
      </c>
      <c r="M154" s="1">
        <v>18.98</v>
      </c>
      <c r="N154" s="1">
        <v>3</v>
      </c>
      <c r="O154" s="1" t="s">
        <v>41</v>
      </c>
      <c r="P154" s="1" t="s">
        <v>882</v>
      </c>
      <c r="Q154" s="1" t="s">
        <v>883</v>
      </c>
      <c r="R154" s="1">
        <v>71</v>
      </c>
      <c r="S154" s="1">
        <v>114</v>
      </c>
      <c r="T154" s="1" t="s">
        <v>812</v>
      </c>
    </row>
    <row r="155" spans="1:20" x14ac:dyDescent="0.3">
      <c r="A155" s="1" t="s">
        <v>884</v>
      </c>
      <c r="B155" s="1" t="s">
        <v>885</v>
      </c>
      <c r="C155" s="1" t="s">
        <v>69</v>
      </c>
      <c r="D155" s="1" t="s">
        <v>23</v>
      </c>
      <c r="E155" s="1" t="s">
        <v>189</v>
      </c>
      <c r="F155" s="1" t="s">
        <v>133</v>
      </c>
      <c r="G155" s="1">
        <v>26</v>
      </c>
      <c r="H155" s="1" t="s">
        <v>73</v>
      </c>
      <c r="I155" s="1" t="s">
        <v>74</v>
      </c>
      <c r="J155" s="1" t="s">
        <v>886</v>
      </c>
      <c r="K155" s="1">
        <v>8.8000000000000007</v>
      </c>
      <c r="L155" s="1">
        <v>2188923</v>
      </c>
      <c r="M155" s="1">
        <v>15.06</v>
      </c>
      <c r="N155" s="1">
        <v>2</v>
      </c>
      <c r="O155" s="1" t="s">
        <v>41</v>
      </c>
      <c r="P155" s="1" t="s">
        <v>887</v>
      </c>
      <c r="Q155" s="1" t="s">
        <v>888</v>
      </c>
      <c r="R155" s="1">
        <v>5</v>
      </c>
      <c r="S155" s="1">
        <v>17</v>
      </c>
      <c r="T155" s="1" t="s">
        <v>479</v>
      </c>
    </row>
    <row r="156" spans="1:20" x14ac:dyDescent="0.3">
      <c r="A156" s="1" t="s">
        <v>889</v>
      </c>
      <c r="B156" s="1" t="s">
        <v>606</v>
      </c>
      <c r="C156" s="1" t="s">
        <v>100</v>
      </c>
      <c r="D156" s="1" t="s">
        <v>23</v>
      </c>
      <c r="E156" s="1" t="s">
        <v>92</v>
      </c>
      <c r="F156" s="1" t="s">
        <v>61</v>
      </c>
      <c r="G156" s="1">
        <v>47</v>
      </c>
      <c r="H156" s="1" t="s">
        <v>73</v>
      </c>
      <c r="I156" s="1" t="s">
        <v>51</v>
      </c>
      <c r="J156" s="1" t="s">
        <v>890</v>
      </c>
      <c r="K156" s="1">
        <v>28.7</v>
      </c>
      <c r="L156" s="1">
        <v>1915814</v>
      </c>
      <c r="M156" s="1">
        <v>16.690000000000001</v>
      </c>
      <c r="N156" s="1">
        <v>2</v>
      </c>
      <c r="O156" s="1" t="s">
        <v>41</v>
      </c>
      <c r="P156" s="1" t="s">
        <v>891</v>
      </c>
      <c r="Q156" s="1" t="s">
        <v>892</v>
      </c>
      <c r="R156" s="1">
        <v>63</v>
      </c>
      <c r="S156" s="1">
        <v>88</v>
      </c>
      <c r="T156" s="1" t="s">
        <v>893</v>
      </c>
    </row>
    <row r="157" spans="1:20" x14ac:dyDescent="0.3">
      <c r="A157" s="1" t="s">
        <v>894</v>
      </c>
      <c r="B157" s="1" t="s">
        <v>895</v>
      </c>
      <c r="C157" s="1" t="s">
        <v>124</v>
      </c>
      <c r="D157" s="1" t="s">
        <v>59</v>
      </c>
      <c r="E157" s="1" t="s">
        <v>189</v>
      </c>
      <c r="F157" s="1" t="s">
        <v>133</v>
      </c>
      <c r="G157" s="1">
        <v>29</v>
      </c>
      <c r="H157" s="1" t="s">
        <v>103</v>
      </c>
      <c r="I157" s="1" t="s">
        <v>125</v>
      </c>
      <c r="J157" s="1" t="s">
        <v>896</v>
      </c>
      <c r="K157" s="1">
        <v>23</v>
      </c>
      <c r="L157" s="1">
        <v>844870</v>
      </c>
      <c r="M157" s="1">
        <v>17.309999999999999</v>
      </c>
      <c r="N157" s="1">
        <v>5</v>
      </c>
      <c r="O157" s="1" t="s">
        <v>41</v>
      </c>
      <c r="P157" s="1" t="s">
        <v>897</v>
      </c>
      <c r="Q157" s="1" t="s">
        <v>898</v>
      </c>
      <c r="R157" s="1">
        <v>41</v>
      </c>
      <c r="S157" s="1">
        <v>99</v>
      </c>
      <c r="T157" s="1" t="s">
        <v>559</v>
      </c>
    </row>
    <row r="158" spans="1:20" x14ac:dyDescent="0.3">
      <c r="A158" s="1" t="s">
        <v>899</v>
      </c>
      <c r="B158" s="1" t="s">
        <v>900</v>
      </c>
      <c r="C158" s="1" t="s">
        <v>230</v>
      </c>
      <c r="D158" s="1" t="s">
        <v>327</v>
      </c>
      <c r="E158" s="1" t="s">
        <v>36</v>
      </c>
      <c r="F158" s="1" t="s">
        <v>72</v>
      </c>
      <c r="G158" s="1">
        <v>28</v>
      </c>
      <c r="H158" s="1" t="s">
        <v>62</v>
      </c>
      <c r="I158" s="1" t="s">
        <v>51</v>
      </c>
      <c r="J158" s="1" t="s">
        <v>901</v>
      </c>
      <c r="K158" s="1">
        <v>21.7</v>
      </c>
      <c r="L158" s="1">
        <v>1255564</v>
      </c>
      <c r="M158" s="1">
        <v>4.28</v>
      </c>
      <c r="N158" s="1">
        <v>1</v>
      </c>
      <c r="O158" s="1" t="s">
        <v>258</v>
      </c>
      <c r="P158" s="1" t="s">
        <v>902</v>
      </c>
      <c r="Q158" s="1" t="s">
        <v>903</v>
      </c>
      <c r="R158" s="1">
        <v>71</v>
      </c>
      <c r="S158" s="1">
        <v>114</v>
      </c>
      <c r="T158" s="1" t="s">
        <v>568</v>
      </c>
    </row>
    <row r="159" spans="1:20" x14ac:dyDescent="0.3">
      <c r="A159" s="1" t="s">
        <v>904</v>
      </c>
      <c r="B159" s="1" t="s">
        <v>905</v>
      </c>
      <c r="C159" s="1" t="s">
        <v>124</v>
      </c>
      <c r="D159" s="1" t="s">
        <v>244</v>
      </c>
      <c r="E159" s="1" t="s">
        <v>92</v>
      </c>
      <c r="F159" s="1" t="s">
        <v>190</v>
      </c>
      <c r="G159" s="1">
        <v>26</v>
      </c>
      <c r="H159" s="1" t="s">
        <v>204</v>
      </c>
      <c r="I159" s="1" t="s">
        <v>198</v>
      </c>
      <c r="J159" s="1" t="s">
        <v>906</v>
      </c>
      <c r="K159" s="1">
        <v>23.3</v>
      </c>
      <c r="L159" s="1">
        <v>1318584</v>
      </c>
      <c r="M159" s="1">
        <v>0.32</v>
      </c>
      <c r="N159" s="1">
        <v>1</v>
      </c>
      <c r="O159" s="1" t="s">
        <v>29</v>
      </c>
      <c r="P159" s="1" t="s">
        <v>907</v>
      </c>
      <c r="Q159" s="1" t="s">
        <v>908</v>
      </c>
      <c r="R159" s="1">
        <v>62</v>
      </c>
      <c r="S159" s="1">
        <v>46</v>
      </c>
      <c r="T159" s="1" t="s">
        <v>677</v>
      </c>
    </row>
    <row r="160" spans="1:20" x14ac:dyDescent="0.3">
      <c r="A160" s="1" t="s">
        <v>909</v>
      </c>
      <c r="B160" s="1" t="s">
        <v>910</v>
      </c>
      <c r="C160" s="1" t="s">
        <v>230</v>
      </c>
      <c r="D160" s="1" t="s">
        <v>256</v>
      </c>
      <c r="E160" s="1" t="s">
        <v>175</v>
      </c>
      <c r="F160" s="1" t="s">
        <v>37</v>
      </c>
      <c r="G160" s="1">
        <v>31</v>
      </c>
      <c r="H160" s="1" t="s">
        <v>50</v>
      </c>
      <c r="I160" s="1" t="s">
        <v>198</v>
      </c>
      <c r="J160" s="1" t="s">
        <v>911</v>
      </c>
      <c r="K160" s="1">
        <v>23.5</v>
      </c>
      <c r="L160" s="1">
        <v>977585</v>
      </c>
      <c r="M160" s="1">
        <v>20.399999999999999</v>
      </c>
      <c r="N160" s="1">
        <v>2</v>
      </c>
      <c r="O160" s="1" t="s">
        <v>41</v>
      </c>
      <c r="P160" s="1"/>
      <c r="Q160" s="1" t="s">
        <v>912</v>
      </c>
      <c r="R160" s="1">
        <v>68</v>
      </c>
      <c r="S160" s="1">
        <v>16</v>
      </c>
      <c r="T160" s="1" t="s">
        <v>194</v>
      </c>
    </row>
    <row r="161" spans="1:20" x14ac:dyDescent="0.3">
      <c r="A161" s="1" t="s">
        <v>913</v>
      </c>
      <c r="B161" s="1" t="s">
        <v>914</v>
      </c>
      <c r="C161" s="1" t="s">
        <v>110</v>
      </c>
      <c r="D161" s="1" t="s">
        <v>256</v>
      </c>
      <c r="E161" s="1" t="s">
        <v>24</v>
      </c>
      <c r="F161" s="1" t="s">
        <v>61</v>
      </c>
      <c r="G161" s="1">
        <v>37</v>
      </c>
      <c r="H161" s="1" t="s">
        <v>103</v>
      </c>
      <c r="I161" s="1" t="s">
        <v>198</v>
      </c>
      <c r="J161" s="1" t="s">
        <v>915</v>
      </c>
      <c r="K161" s="1">
        <v>9.6999999999999993</v>
      </c>
      <c r="L161" s="1">
        <v>2087779</v>
      </c>
      <c r="M161" s="1">
        <v>24.31</v>
      </c>
      <c r="N161" s="1">
        <v>5</v>
      </c>
      <c r="O161" s="1" t="s">
        <v>258</v>
      </c>
      <c r="P161" s="1" t="s">
        <v>916</v>
      </c>
      <c r="Q161" s="1" t="s">
        <v>917</v>
      </c>
      <c r="R161" s="1">
        <v>21</v>
      </c>
      <c r="S161" s="1">
        <v>54</v>
      </c>
      <c r="T161" s="1" t="s">
        <v>227</v>
      </c>
    </row>
    <row r="162" spans="1:20" x14ac:dyDescent="0.3">
      <c r="A162" s="1" t="s">
        <v>918</v>
      </c>
      <c r="B162" s="1" t="s">
        <v>919</v>
      </c>
      <c r="C162" s="1" t="s">
        <v>22</v>
      </c>
      <c r="D162" s="1" t="s">
        <v>47</v>
      </c>
      <c r="E162" s="1" t="s">
        <v>155</v>
      </c>
      <c r="F162" s="1" t="s">
        <v>72</v>
      </c>
      <c r="G162" s="1">
        <v>24</v>
      </c>
      <c r="H162" s="1" t="s">
        <v>103</v>
      </c>
      <c r="I162" s="1" t="s">
        <v>27</v>
      </c>
      <c r="J162" s="1" t="s">
        <v>920</v>
      </c>
      <c r="K162" s="1">
        <v>18.5</v>
      </c>
      <c r="L162" s="1">
        <v>1990195</v>
      </c>
      <c r="M162" s="1">
        <v>21.46</v>
      </c>
      <c r="N162" s="1">
        <v>1</v>
      </c>
      <c r="O162" s="1" t="s">
        <v>41</v>
      </c>
      <c r="P162" s="1" t="s">
        <v>95</v>
      </c>
      <c r="Q162" s="1" t="s">
        <v>921</v>
      </c>
      <c r="R162" s="1">
        <v>29</v>
      </c>
      <c r="S162" s="1">
        <v>95</v>
      </c>
      <c r="T162" s="1" t="s">
        <v>294</v>
      </c>
    </row>
    <row r="163" spans="1:20" x14ac:dyDescent="0.3">
      <c r="A163" s="1" t="s">
        <v>922</v>
      </c>
      <c r="B163" s="1" t="s">
        <v>923</v>
      </c>
      <c r="C163" s="1" t="s">
        <v>124</v>
      </c>
      <c r="D163" s="1" t="s">
        <v>70</v>
      </c>
      <c r="E163" s="1" t="s">
        <v>189</v>
      </c>
      <c r="F163" s="1" t="s">
        <v>49</v>
      </c>
      <c r="G163" s="1">
        <v>35</v>
      </c>
      <c r="H163" s="1" t="s">
        <v>50</v>
      </c>
      <c r="I163" s="1" t="s">
        <v>27</v>
      </c>
      <c r="J163" s="1" t="s">
        <v>924</v>
      </c>
      <c r="K163" s="1">
        <v>18</v>
      </c>
      <c r="L163" s="1"/>
      <c r="M163" s="1">
        <v>1.22</v>
      </c>
      <c r="N163" s="1">
        <v>3</v>
      </c>
      <c r="O163" s="1" t="s">
        <v>135</v>
      </c>
      <c r="P163" s="1" t="s">
        <v>925</v>
      </c>
      <c r="Q163" s="1" t="s">
        <v>926</v>
      </c>
      <c r="R163" s="1">
        <v>66</v>
      </c>
      <c r="S163" s="1">
        <v>115</v>
      </c>
      <c r="T163" s="1" t="s">
        <v>457</v>
      </c>
    </row>
    <row r="164" spans="1:20" x14ac:dyDescent="0.3">
      <c r="A164" s="1" t="s">
        <v>927</v>
      </c>
      <c r="B164" s="1" t="s">
        <v>928</v>
      </c>
      <c r="C164" s="1" t="s">
        <v>197</v>
      </c>
      <c r="D164" s="1" t="s">
        <v>101</v>
      </c>
      <c r="E164" s="1" t="s">
        <v>36</v>
      </c>
      <c r="F164" s="1" t="s">
        <v>190</v>
      </c>
      <c r="G164" s="1">
        <v>41</v>
      </c>
      <c r="H164" s="1" t="s">
        <v>142</v>
      </c>
      <c r="I164" s="1" t="s">
        <v>118</v>
      </c>
      <c r="J164" s="1" t="s">
        <v>929</v>
      </c>
      <c r="K164" s="1">
        <v>10.199999999999999</v>
      </c>
      <c r="L164" s="1">
        <v>669120</v>
      </c>
      <c r="M164" s="1">
        <v>7.85</v>
      </c>
      <c r="N164" s="1">
        <v>5</v>
      </c>
      <c r="O164" s="1" t="s">
        <v>41</v>
      </c>
      <c r="P164" s="1" t="s">
        <v>930</v>
      </c>
      <c r="Q164" s="1" t="s">
        <v>931</v>
      </c>
      <c r="R164" s="1">
        <v>57</v>
      </c>
      <c r="S164" s="1">
        <v>27</v>
      </c>
      <c r="T164" s="1" t="s">
        <v>932</v>
      </c>
    </row>
    <row r="165" spans="1:20" x14ac:dyDescent="0.3">
      <c r="A165" s="1" t="s">
        <v>933</v>
      </c>
      <c r="B165" s="1" t="s">
        <v>934</v>
      </c>
      <c r="C165" s="1" t="s">
        <v>255</v>
      </c>
      <c r="D165" s="1" t="s">
        <v>327</v>
      </c>
      <c r="E165" s="1" t="s">
        <v>155</v>
      </c>
      <c r="F165" s="1" t="s">
        <v>190</v>
      </c>
      <c r="G165" s="1">
        <v>58</v>
      </c>
      <c r="H165" s="1" t="s">
        <v>103</v>
      </c>
      <c r="I165" s="1" t="s">
        <v>118</v>
      </c>
      <c r="J165" s="1" t="s">
        <v>935</v>
      </c>
      <c r="K165" s="1">
        <v>16.399999999999999</v>
      </c>
      <c r="L165" s="1">
        <v>1079107</v>
      </c>
      <c r="M165" s="1">
        <v>12.12</v>
      </c>
      <c r="N165" s="1">
        <v>5</v>
      </c>
      <c r="O165" s="1" t="s">
        <v>41</v>
      </c>
      <c r="P165" s="1" t="s">
        <v>936</v>
      </c>
      <c r="Q165" s="1" t="s">
        <v>937</v>
      </c>
      <c r="R165" s="1">
        <v>49</v>
      </c>
      <c r="S165" s="1">
        <v>64</v>
      </c>
      <c r="T165" s="1" t="s">
        <v>938</v>
      </c>
    </row>
    <row r="166" spans="1:20" x14ac:dyDescent="0.3">
      <c r="A166" s="1" t="s">
        <v>939</v>
      </c>
      <c r="B166" s="1" t="s">
        <v>940</v>
      </c>
      <c r="C166" s="1" t="s">
        <v>132</v>
      </c>
      <c r="D166" s="1" t="s">
        <v>327</v>
      </c>
      <c r="E166" s="1" t="s">
        <v>71</v>
      </c>
      <c r="F166" s="1" t="s">
        <v>93</v>
      </c>
      <c r="G166" s="1">
        <v>35</v>
      </c>
      <c r="H166" s="1" t="s">
        <v>103</v>
      </c>
      <c r="I166" s="1" t="s">
        <v>85</v>
      </c>
      <c r="J166" s="1" t="s">
        <v>941</v>
      </c>
      <c r="K166" s="1">
        <v>30</v>
      </c>
      <c r="L166" s="1">
        <v>1393104</v>
      </c>
      <c r="M166" s="1"/>
      <c r="N166" s="1">
        <v>5</v>
      </c>
      <c r="O166" s="1" t="s">
        <v>41</v>
      </c>
      <c r="P166" s="1" t="s">
        <v>942</v>
      </c>
      <c r="Q166" s="1" t="s">
        <v>943</v>
      </c>
      <c r="R166" s="1">
        <v>30</v>
      </c>
      <c r="S166" s="1">
        <v>103</v>
      </c>
      <c r="T166" s="1" t="s">
        <v>832</v>
      </c>
    </row>
    <row r="167" spans="1:20" x14ac:dyDescent="0.3">
      <c r="A167" s="1" t="s">
        <v>944</v>
      </c>
      <c r="B167" s="1" t="s">
        <v>945</v>
      </c>
      <c r="C167" s="1" t="s">
        <v>230</v>
      </c>
      <c r="D167" s="1" t="s">
        <v>244</v>
      </c>
      <c r="E167" s="1" t="s">
        <v>36</v>
      </c>
      <c r="F167" s="1" t="s">
        <v>133</v>
      </c>
      <c r="G167" s="1">
        <v>37</v>
      </c>
      <c r="H167" s="1" t="s">
        <v>204</v>
      </c>
      <c r="I167" s="1" t="s">
        <v>125</v>
      </c>
      <c r="J167" s="1" t="s">
        <v>946</v>
      </c>
      <c r="K167" s="1">
        <v>19</v>
      </c>
      <c r="L167" s="1">
        <v>1680868</v>
      </c>
      <c r="M167" s="1">
        <v>12.99</v>
      </c>
      <c r="N167" s="1">
        <v>5</v>
      </c>
      <c r="O167" s="1" t="s">
        <v>258</v>
      </c>
      <c r="P167" s="1" t="s">
        <v>947</v>
      </c>
      <c r="Q167" s="1" t="s">
        <v>948</v>
      </c>
      <c r="R167" s="1">
        <v>9</v>
      </c>
      <c r="S167" s="1">
        <v>79</v>
      </c>
      <c r="T167" s="1" t="s">
        <v>294</v>
      </c>
    </row>
    <row r="168" spans="1:20" x14ac:dyDescent="0.3">
      <c r="A168" s="1" t="s">
        <v>949</v>
      </c>
      <c r="B168" s="1" t="s">
        <v>248</v>
      </c>
      <c r="C168" s="1" t="s">
        <v>197</v>
      </c>
      <c r="D168" s="1" t="s">
        <v>59</v>
      </c>
      <c r="E168" s="1" t="s">
        <v>24</v>
      </c>
      <c r="F168" s="1" t="s">
        <v>61</v>
      </c>
      <c r="G168" s="1">
        <v>52</v>
      </c>
      <c r="H168" s="1" t="s">
        <v>218</v>
      </c>
      <c r="I168" s="1" t="s">
        <v>74</v>
      </c>
      <c r="J168" s="1" t="s">
        <v>950</v>
      </c>
      <c r="K168" s="1">
        <v>4.5999999999999996</v>
      </c>
      <c r="L168" s="1">
        <v>2154072</v>
      </c>
      <c r="M168" s="1">
        <v>15.62</v>
      </c>
      <c r="N168" s="1">
        <v>5</v>
      </c>
      <c r="O168" s="1" t="s">
        <v>135</v>
      </c>
      <c r="P168" s="1" t="s">
        <v>951</v>
      </c>
      <c r="Q168" s="1" t="s">
        <v>952</v>
      </c>
      <c r="R168" s="1">
        <v>10</v>
      </c>
      <c r="S168" s="1">
        <v>64</v>
      </c>
      <c r="T168" s="1" t="s">
        <v>457</v>
      </c>
    </row>
    <row r="169" spans="1:20" x14ac:dyDescent="0.3">
      <c r="A169" s="1" t="s">
        <v>953</v>
      </c>
      <c r="B169" s="1" t="s">
        <v>954</v>
      </c>
      <c r="C169" s="1" t="s">
        <v>69</v>
      </c>
      <c r="D169" s="1" t="s">
        <v>70</v>
      </c>
      <c r="E169" s="1" t="s">
        <v>71</v>
      </c>
      <c r="F169" s="1" t="s">
        <v>37</v>
      </c>
      <c r="G169" s="1">
        <v>48</v>
      </c>
      <c r="H169" s="1" t="s">
        <v>26</v>
      </c>
      <c r="I169" s="1" t="s">
        <v>85</v>
      </c>
      <c r="J169" s="1" t="s">
        <v>955</v>
      </c>
      <c r="K169" s="1"/>
      <c r="L169" s="1">
        <v>1766538</v>
      </c>
      <c r="M169" s="1">
        <v>8.33</v>
      </c>
      <c r="N169" s="1">
        <v>2</v>
      </c>
      <c r="O169" s="1" t="s">
        <v>64</v>
      </c>
      <c r="P169" s="1" t="s">
        <v>956</v>
      </c>
      <c r="Q169" s="1" t="s">
        <v>957</v>
      </c>
      <c r="R169" s="1">
        <v>72</v>
      </c>
      <c r="S169" s="1">
        <v>3</v>
      </c>
      <c r="T169" s="1" t="s">
        <v>505</v>
      </c>
    </row>
    <row r="170" spans="1:20" x14ac:dyDescent="0.3">
      <c r="A170" s="1" t="s">
        <v>958</v>
      </c>
      <c r="B170" s="1" t="s">
        <v>959</v>
      </c>
      <c r="C170" s="1" t="s">
        <v>197</v>
      </c>
      <c r="D170" s="1" t="s">
        <v>141</v>
      </c>
      <c r="E170" s="1" t="s">
        <v>189</v>
      </c>
      <c r="F170" s="1" t="s">
        <v>61</v>
      </c>
      <c r="G170" s="1">
        <v>46</v>
      </c>
      <c r="H170" s="1" t="s">
        <v>103</v>
      </c>
      <c r="I170" s="1" t="s">
        <v>125</v>
      </c>
      <c r="J170" s="1" t="s">
        <v>960</v>
      </c>
      <c r="K170" s="1">
        <v>19.3</v>
      </c>
      <c r="L170" s="1">
        <v>630363</v>
      </c>
      <c r="M170" s="1">
        <v>24.87</v>
      </c>
      <c r="N170" s="1">
        <v>5</v>
      </c>
      <c r="O170" s="1" t="s">
        <v>41</v>
      </c>
      <c r="P170" s="1" t="s">
        <v>961</v>
      </c>
      <c r="Q170" s="1" t="s">
        <v>962</v>
      </c>
      <c r="R170" s="1">
        <v>69</v>
      </c>
      <c r="S170" s="1">
        <v>31</v>
      </c>
      <c r="T170" s="1" t="s">
        <v>287</v>
      </c>
    </row>
    <row r="171" spans="1:20" x14ac:dyDescent="0.3">
      <c r="A171" s="1" t="s">
        <v>963</v>
      </c>
      <c r="B171" s="1" t="s">
        <v>964</v>
      </c>
      <c r="C171" s="1" t="s">
        <v>22</v>
      </c>
      <c r="D171" s="1" t="s">
        <v>231</v>
      </c>
      <c r="E171" s="1" t="s">
        <v>290</v>
      </c>
      <c r="F171" s="1" t="s">
        <v>190</v>
      </c>
      <c r="G171" s="1">
        <v>40</v>
      </c>
      <c r="H171" s="1" t="s">
        <v>204</v>
      </c>
      <c r="I171" s="1" t="s">
        <v>198</v>
      </c>
      <c r="J171" s="1" t="s">
        <v>965</v>
      </c>
      <c r="K171" s="1">
        <v>18.100000000000001</v>
      </c>
      <c r="L171" s="1">
        <v>991617</v>
      </c>
      <c r="M171" s="1"/>
      <c r="N171" s="1">
        <v>1</v>
      </c>
      <c r="O171" s="1" t="s">
        <v>29</v>
      </c>
      <c r="P171" s="1" t="s">
        <v>966</v>
      </c>
      <c r="Q171" s="1" t="s">
        <v>967</v>
      </c>
      <c r="R171" s="1">
        <v>22</v>
      </c>
      <c r="S171" s="1">
        <v>37</v>
      </c>
      <c r="T171" s="1" t="s">
        <v>812</v>
      </c>
    </row>
    <row r="172" spans="1:20" x14ac:dyDescent="0.3">
      <c r="A172" s="1" t="s">
        <v>968</v>
      </c>
      <c r="B172" s="1" t="s">
        <v>969</v>
      </c>
      <c r="C172" s="1" t="s">
        <v>35</v>
      </c>
      <c r="D172" s="1" t="s">
        <v>83</v>
      </c>
      <c r="E172" s="1" t="s">
        <v>168</v>
      </c>
      <c r="F172" s="1" t="s">
        <v>37</v>
      </c>
      <c r="G172" s="1">
        <v>33</v>
      </c>
      <c r="H172" s="1" t="s">
        <v>38</v>
      </c>
      <c r="I172" s="1" t="s">
        <v>85</v>
      </c>
      <c r="J172" s="1" t="s">
        <v>970</v>
      </c>
      <c r="K172" s="1">
        <v>8.6</v>
      </c>
      <c r="L172" s="1">
        <v>622740</v>
      </c>
      <c r="M172" s="1">
        <v>16.12</v>
      </c>
      <c r="N172" s="1">
        <v>1</v>
      </c>
      <c r="O172" s="1" t="s">
        <v>64</v>
      </c>
      <c r="P172" s="1" t="s">
        <v>971</v>
      </c>
      <c r="Q172" s="1" t="s">
        <v>972</v>
      </c>
      <c r="R172" s="1"/>
      <c r="S172" s="1">
        <v>102</v>
      </c>
      <c r="T172" s="1" t="s">
        <v>594</v>
      </c>
    </row>
    <row r="173" spans="1:20" x14ac:dyDescent="0.3">
      <c r="A173" s="1" t="s">
        <v>973</v>
      </c>
      <c r="B173" s="1" t="s">
        <v>974</v>
      </c>
      <c r="C173" s="1" t="s">
        <v>230</v>
      </c>
      <c r="D173" s="1" t="s">
        <v>23</v>
      </c>
      <c r="E173" s="1" t="s">
        <v>92</v>
      </c>
      <c r="F173" s="1" t="s">
        <v>61</v>
      </c>
      <c r="G173" s="1">
        <v>53</v>
      </c>
      <c r="H173" s="1" t="s">
        <v>38</v>
      </c>
      <c r="I173" s="1" t="s">
        <v>74</v>
      </c>
      <c r="J173" s="1" t="s">
        <v>975</v>
      </c>
      <c r="K173" s="1">
        <v>18.3</v>
      </c>
      <c r="L173" s="1">
        <v>1600659</v>
      </c>
      <c r="M173" s="1">
        <v>10.56</v>
      </c>
      <c r="N173" s="1">
        <v>4</v>
      </c>
      <c r="O173" s="1" t="s">
        <v>258</v>
      </c>
      <c r="P173" s="1" t="s">
        <v>976</v>
      </c>
      <c r="Q173" s="1" t="s">
        <v>977</v>
      </c>
      <c r="R173" s="1">
        <v>23</v>
      </c>
      <c r="S173" s="1">
        <v>54</v>
      </c>
      <c r="T173" s="1"/>
    </row>
    <row r="174" spans="1:20" x14ac:dyDescent="0.3">
      <c r="A174" s="1" t="s">
        <v>381</v>
      </c>
      <c r="B174" s="1" t="s">
        <v>978</v>
      </c>
      <c r="C174" s="1" t="s">
        <v>100</v>
      </c>
      <c r="D174" s="1" t="s">
        <v>59</v>
      </c>
      <c r="E174" s="1" t="s">
        <v>175</v>
      </c>
      <c r="F174" s="1" t="s">
        <v>49</v>
      </c>
      <c r="G174" s="1">
        <v>46</v>
      </c>
      <c r="H174" s="1" t="s">
        <v>38</v>
      </c>
      <c r="I174" s="1" t="s">
        <v>39</v>
      </c>
      <c r="J174" s="1" t="s">
        <v>979</v>
      </c>
      <c r="K174" s="1">
        <v>29.4</v>
      </c>
      <c r="L174" s="1">
        <v>482596</v>
      </c>
      <c r="M174" s="1">
        <v>8.81</v>
      </c>
      <c r="N174" s="1">
        <v>4</v>
      </c>
      <c r="O174" s="1" t="s">
        <v>41</v>
      </c>
      <c r="P174" s="1" t="s">
        <v>980</v>
      </c>
      <c r="Q174" s="1" t="s">
        <v>981</v>
      </c>
      <c r="R174" s="1">
        <v>22</v>
      </c>
      <c r="S174" s="1">
        <v>87</v>
      </c>
      <c r="T174" s="1" t="s">
        <v>884</v>
      </c>
    </row>
    <row r="175" spans="1:20" x14ac:dyDescent="0.3">
      <c r="A175" s="1" t="s">
        <v>982</v>
      </c>
      <c r="B175" s="1" t="s">
        <v>983</v>
      </c>
      <c r="C175" s="1" t="s">
        <v>132</v>
      </c>
      <c r="D175" s="1" t="s">
        <v>23</v>
      </c>
      <c r="E175" s="1" t="s">
        <v>36</v>
      </c>
      <c r="F175" s="1" t="s">
        <v>61</v>
      </c>
      <c r="G175" s="1">
        <v>24</v>
      </c>
      <c r="H175" s="1" t="s">
        <v>62</v>
      </c>
      <c r="I175" s="1" t="s">
        <v>51</v>
      </c>
      <c r="J175" s="1" t="s">
        <v>984</v>
      </c>
      <c r="K175" s="1">
        <v>6</v>
      </c>
      <c r="L175" s="1">
        <v>713771</v>
      </c>
      <c r="M175" s="1">
        <v>7.26</v>
      </c>
      <c r="N175" s="1">
        <v>4</v>
      </c>
      <c r="O175" s="1" t="s">
        <v>135</v>
      </c>
      <c r="P175" s="1" t="s">
        <v>220</v>
      </c>
      <c r="Q175" s="1" t="s">
        <v>985</v>
      </c>
      <c r="R175" s="1">
        <v>42</v>
      </c>
      <c r="S175" s="1">
        <v>49</v>
      </c>
      <c r="T175" s="1" t="s">
        <v>594</v>
      </c>
    </row>
    <row r="176" spans="1:20" x14ac:dyDescent="0.3">
      <c r="A176" s="1" t="s">
        <v>986</v>
      </c>
      <c r="B176" s="1" t="s">
        <v>987</v>
      </c>
      <c r="C176" s="1" t="s">
        <v>58</v>
      </c>
      <c r="D176" s="1" t="s">
        <v>101</v>
      </c>
      <c r="E176" s="1" t="s">
        <v>189</v>
      </c>
      <c r="F176" s="1" t="s">
        <v>72</v>
      </c>
      <c r="G176" s="1">
        <v>56</v>
      </c>
      <c r="H176" s="1" t="s">
        <v>103</v>
      </c>
      <c r="I176" s="1" t="s">
        <v>74</v>
      </c>
      <c r="J176" s="1" t="s">
        <v>988</v>
      </c>
      <c r="K176" s="1">
        <v>10.3</v>
      </c>
      <c r="L176" s="1">
        <v>2214432</v>
      </c>
      <c r="M176" s="1">
        <v>5.57</v>
      </c>
      <c r="N176" s="1">
        <v>3</v>
      </c>
      <c r="O176" s="1" t="s">
        <v>135</v>
      </c>
      <c r="P176" s="1" t="s">
        <v>989</v>
      </c>
      <c r="Q176" s="1" t="s">
        <v>990</v>
      </c>
      <c r="R176" s="1">
        <v>4</v>
      </c>
      <c r="S176" s="1">
        <v>85</v>
      </c>
      <c r="T176" s="1" t="s">
        <v>89</v>
      </c>
    </row>
    <row r="177" spans="1:20" x14ac:dyDescent="0.3">
      <c r="A177" s="1" t="s">
        <v>991</v>
      </c>
      <c r="B177" s="1" t="s">
        <v>992</v>
      </c>
      <c r="C177" s="1" t="s">
        <v>35</v>
      </c>
      <c r="D177" s="1" t="s">
        <v>59</v>
      </c>
      <c r="E177" s="1" t="s">
        <v>189</v>
      </c>
      <c r="F177" s="1" t="s">
        <v>61</v>
      </c>
      <c r="G177" s="1">
        <v>55</v>
      </c>
      <c r="H177" s="1" t="s">
        <v>103</v>
      </c>
      <c r="I177" s="1" t="s">
        <v>125</v>
      </c>
      <c r="J177" s="1" t="s">
        <v>993</v>
      </c>
      <c r="K177" s="1">
        <v>1.2</v>
      </c>
      <c r="L177" s="1">
        <v>1156869</v>
      </c>
      <c r="M177" s="1">
        <v>21.48</v>
      </c>
      <c r="N177" s="1">
        <v>4</v>
      </c>
      <c r="O177" s="1" t="s">
        <v>41</v>
      </c>
      <c r="P177" s="1" t="s">
        <v>994</v>
      </c>
      <c r="Q177" s="1" t="s">
        <v>995</v>
      </c>
      <c r="R177" s="1">
        <v>55</v>
      </c>
      <c r="S177" s="1">
        <v>2</v>
      </c>
      <c r="T177" s="1" t="s">
        <v>932</v>
      </c>
    </row>
    <row r="178" spans="1:20" x14ac:dyDescent="0.3">
      <c r="A178" s="1" t="s">
        <v>235</v>
      </c>
      <c r="B178" s="1" t="s">
        <v>996</v>
      </c>
      <c r="C178" s="1" t="s">
        <v>35</v>
      </c>
      <c r="D178" s="1" t="s">
        <v>256</v>
      </c>
      <c r="E178" s="1" t="s">
        <v>189</v>
      </c>
      <c r="F178" s="1" t="s">
        <v>190</v>
      </c>
      <c r="G178" s="1">
        <v>40</v>
      </c>
      <c r="H178" s="1" t="s">
        <v>218</v>
      </c>
      <c r="I178" s="1" t="s">
        <v>27</v>
      </c>
      <c r="J178" s="1" t="s">
        <v>997</v>
      </c>
      <c r="K178" s="1">
        <v>21.2</v>
      </c>
      <c r="L178" s="1">
        <v>1508399</v>
      </c>
      <c r="M178" s="1">
        <v>22.71</v>
      </c>
      <c r="N178" s="1">
        <v>5</v>
      </c>
      <c r="O178" s="1" t="s">
        <v>41</v>
      </c>
      <c r="P178" s="1" t="s">
        <v>998</v>
      </c>
      <c r="Q178" s="1" t="s">
        <v>999</v>
      </c>
      <c r="R178" s="1">
        <v>9</v>
      </c>
      <c r="S178" s="1">
        <v>101</v>
      </c>
      <c r="T178" s="1" t="s">
        <v>432</v>
      </c>
    </row>
    <row r="179" spans="1:20" x14ac:dyDescent="0.3">
      <c r="A179" s="1" t="s">
        <v>479</v>
      </c>
      <c r="B179" s="1" t="s">
        <v>905</v>
      </c>
      <c r="C179" s="1" t="s">
        <v>100</v>
      </c>
      <c r="D179" s="1" t="s">
        <v>256</v>
      </c>
      <c r="E179" s="1" t="s">
        <v>24</v>
      </c>
      <c r="F179" s="1" t="s">
        <v>93</v>
      </c>
      <c r="G179" s="1">
        <v>50</v>
      </c>
      <c r="H179" s="1" t="s">
        <v>103</v>
      </c>
      <c r="I179" s="1" t="s">
        <v>118</v>
      </c>
      <c r="J179" s="1" t="s">
        <v>1000</v>
      </c>
      <c r="K179" s="1">
        <v>5</v>
      </c>
      <c r="L179" s="1">
        <v>1193619</v>
      </c>
      <c r="M179" s="1">
        <v>7.86</v>
      </c>
      <c r="N179" s="1">
        <v>2</v>
      </c>
      <c r="O179" s="1" t="s">
        <v>41</v>
      </c>
      <c r="P179" s="1" t="s">
        <v>1001</v>
      </c>
      <c r="Q179" s="1" t="s">
        <v>1002</v>
      </c>
      <c r="R179" s="1">
        <v>35</v>
      </c>
      <c r="S179" s="1">
        <v>31</v>
      </c>
      <c r="T179" s="1" t="s">
        <v>696</v>
      </c>
    </row>
    <row r="180" spans="1:20" x14ac:dyDescent="0.3">
      <c r="A180" s="1" t="s">
        <v>1003</v>
      </c>
      <c r="B180" s="1" t="s">
        <v>1004</v>
      </c>
      <c r="C180" s="1" t="s">
        <v>22</v>
      </c>
      <c r="D180" s="1" t="s">
        <v>256</v>
      </c>
      <c r="E180" s="1" t="s">
        <v>48</v>
      </c>
      <c r="F180" s="1" t="s">
        <v>37</v>
      </c>
      <c r="G180" s="1">
        <v>24</v>
      </c>
      <c r="H180" s="1" t="s">
        <v>50</v>
      </c>
      <c r="I180" s="1" t="s">
        <v>51</v>
      </c>
      <c r="J180" s="1" t="s">
        <v>1005</v>
      </c>
      <c r="K180" s="1">
        <v>7.5</v>
      </c>
      <c r="L180" s="1">
        <v>664056</v>
      </c>
      <c r="M180" s="1">
        <v>19.98</v>
      </c>
      <c r="N180" s="1">
        <v>2</v>
      </c>
      <c r="O180" s="1" t="s">
        <v>76</v>
      </c>
      <c r="P180" s="1" t="s">
        <v>1006</v>
      </c>
      <c r="Q180" s="1" t="s">
        <v>1007</v>
      </c>
      <c r="R180" s="1">
        <v>19</v>
      </c>
      <c r="S180" s="1">
        <v>118</v>
      </c>
      <c r="T180" s="1" t="s">
        <v>510</v>
      </c>
    </row>
    <row r="181" spans="1:20" x14ac:dyDescent="0.3">
      <c r="A181" s="1" t="s">
        <v>1008</v>
      </c>
      <c r="B181" s="1" t="s">
        <v>1009</v>
      </c>
      <c r="C181" s="1" t="s">
        <v>132</v>
      </c>
      <c r="D181" s="1" t="s">
        <v>182</v>
      </c>
      <c r="E181" s="1" t="s">
        <v>175</v>
      </c>
      <c r="F181" s="1" t="s">
        <v>25</v>
      </c>
      <c r="G181" s="1">
        <v>54</v>
      </c>
      <c r="H181" s="1" t="s">
        <v>26</v>
      </c>
      <c r="I181" s="1" t="s">
        <v>39</v>
      </c>
      <c r="J181" s="1" t="s">
        <v>513</v>
      </c>
      <c r="K181" s="1">
        <v>20.399999999999999</v>
      </c>
      <c r="L181" s="1">
        <v>1271698</v>
      </c>
      <c r="M181" s="1">
        <v>0.38</v>
      </c>
      <c r="N181" s="1">
        <v>5</v>
      </c>
      <c r="O181" s="1" t="s">
        <v>41</v>
      </c>
      <c r="P181" s="1" t="s">
        <v>1010</v>
      </c>
      <c r="Q181" s="1" t="s">
        <v>1011</v>
      </c>
      <c r="R181" s="1">
        <v>11</v>
      </c>
      <c r="S181" s="1">
        <v>92</v>
      </c>
      <c r="T181" s="1" t="s">
        <v>778</v>
      </c>
    </row>
    <row r="182" spans="1:20" x14ac:dyDescent="0.3">
      <c r="A182" s="1" t="s">
        <v>1012</v>
      </c>
      <c r="B182" s="1" t="s">
        <v>1013</v>
      </c>
      <c r="C182" s="1" t="s">
        <v>124</v>
      </c>
      <c r="D182" s="1" t="s">
        <v>101</v>
      </c>
      <c r="E182" s="1" t="s">
        <v>36</v>
      </c>
      <c r="F182" s="1" t="s">
        <v>25</v>
      </c>
      <c r="G182" s="1">
        <v>48</v>
      </c>
      <c r="H182" s="1" t="s">
        <v>50</v>
      </c>
      <c r="I182" s="1" t="s">
        <v>74</v>
      </c>
      <c r="J182" s="1" t="s">
        <v>1014</v>
      </c>
      <c r="K182" s="1">
        <v>9</v>
      </c>
      <c r="L182" s="1">
        <v>587158</v>
      </c>
      <c r="M182" s="1">
        <v>7.05</v>
      </c>
      <c r="N182" s="1">
        <v>4</v>
      </c>
      <c r="O182" s="1" t="s">
        <v>76</v>
      </c>
      <c r="P182" s="1"/>
      <c r="Q182" s="1" t="s">
        <v>1015</v>
      </c>
      <c r="R182" s="1">
        <v>56</v>
      </c>
      <c r="S182" s="1">
        <v>29</v>
      </c>
      <c r="T182" s="1" t="s">
        <v>419</v>
      </c>
    </row>
    <row r="183" spans="1:20" x14ac:dyDescent="0.3">
      <c r="A183" s="1" t="s">
        <v>1016</v>
      </c>
      <c r="B183" s="1" t="s">
        <v>1017</v>
      </c>
      <c r="C183" s="1" t="s">
        <v>197</v>
      </c>
      <c r="D183" s="1" t="s">
        <v>217</v>
      </c>
      <c r="E183" s="1" t="s">
        <v>71</v>
      </c>
      <c r="F183" s="1" t="s">
        <v>72</v>
      </c>
      <c r="G183" s="1">
        <v>23</v>
      </c>
      <c r="H183" s="1" t="s">
        <v>38</v>
      </c>
      <c r="I183" s="1" t="s">
        <v>51</v>
      </c>
      <c r="J183" s="1" t="s">
        <v>1018</v>
      </c>
      <c r="K183" s="1">
        <v>19.399999999999999</v>
      </c>
      <c r="L183" s="1">
        <v>2182871</v>
      </c>
      <c r="M183" s="1">
        <v>15.49</v>
      </c>
      <c r="N183" s="1">
        <v>5</v>
      </c>
      <c r="O183" s="1" t="s">
        <v>41</v>
      </c>
      <c r="P183" s="1" t="s">
        <v>1019</v>
      </c>
      <c r="Q183" s="1" t="s">
        <v>1020</v>
      </c>
      <c r="R183" s="1">
        <v>47</v>
      </c>
      <c r="S183" s="1">
        <v>25</v>
      </c>
      <c r="T183" s="1" t="s">
        <v>904</v>
      </c>
    </row>
    <row r="184" spans="1:20" x14ac:dyDescent="0.3">
      <c r="A184" s="1" t="s">
        <v>1021</v>
      </c>
      <c r="B184" s="1" t="s">
        <v>1022</v>
      </c>
      <c r="C184" s="1" t="s">
        <v>230</v>
      </c>
      <c r="D184" s="1" t="s">
        <v>70</v>
      </c>
      <c r="E184" s="1" t="s">
        <v>60</v>
      </c>
      <c r="F184" s="1" t="s">
        <v>25</v>
      </c>
      <c r="G184" s="1">
        <v>33</v>
      </c>
      <c r="H184" s="1" t="s">
        <v>204</v>
      </c>
      <c r="I184" s="1" t="s">
        <v>39</v>
      </c>
      <c r="J184" s="1" t="s">
        <v>1023</v>
      </c>
      <c r="K184" s="1">
        <v>11.1</v>
      </c>
      <c r="L184" s="1">
        <v>1414111</v>
      </c>
      <c r="M184" s="1">
        <v>8.34</v>
      </c>
      <c r="N184" s="1">
        <v>2</v>
      </c>
      <c r="O184" s="1" t="s">
        <v>41</v>
      </c>
      <c r="P184" s="1" t="s">
        <v>1024</v>
      </c>
      <c r="Q184" s="1" t="s">
        <v>365</v>
      </c>
      <c r="R184" s="1">
        <v>32</v>
      </c>
      <c r="S184" s="1">
        <v>104</v>
      </c>
      <c r="T184" s="1" t="s">
        <v>213</v>
      </c>
    </row>
    <row r="185" spans="1:20" x14ac:dyDescent="0.3">
      <c r="A185" s="1" t="s">
        <v>1025</v>
      </c>
      <c r="B185" s="1" t="s">
        <v>1026</v>
      </c>
      <c r="C185" s="1" t="s">
        <v>110</v>
      </c>
      <c r="D185" s="1" t="s">
        <v>70</v>
      </c>
      <c r="E185" s="1" t="s">
        <v>168</v>
      </c>
      <c r="F185" s="1" t="s">
        <v>37</v>
      </c>
      <c r="G185" s="1">
        <v>39</v>
      </c>
      <c r="H185" s="1" t="s">
        <v>84</v>
      </c>
      <c r="I185" s="1" t="s">
        <v>39</v>
      </c>
      <c r="J185" s="1" t="s">
        <v>1027</v>
      </c>
      <c r="K185" s="1">
        <v>23.8</v>
      </c>
      <c r="L185" s="1">
        <v>330310</v>
      </c>
      <c r="M185" s="1">
        <v>8.58</v>
      </c>
      <c r="N185" s="1">
        <v>4</v>
      </c>
      <c r="O185" s="1" t="s">
        <v>41</v>
      </c>
      <c r="P185" s="1" t="s">
        <v>1028</v>
      </c>
      <c r="Q185" s="1" t="s">
        <v>1029</v>
      </c>
      <c r="R185" s="1">
        <v>30</v>
      </c>
      <c r="S185" s="1">
        <v>85</v>
      </c>
      <c r="T185" s="1" t="s">
        <v>159</v>
      </c>
    </row>
    <row r="186" spans="1:20" x14ac:dyDescent="0.3">
      <c r="A186" s="1" t="s">
        <v>1030</v>
      </c>
      <c r="B186" s="1" t="s">
        <v>1031</v>
      </c>
      <c r="C186" s="1" t="s">
        <v>216</v>
      </c>
      <c r="D186" s="1" t="s">
        <v>141</v>
      </c>
      <c r="E186" s="1" t="s">
        <v>189</v>
      </c>
      <c r="F186" s="1" t="s">
        <v>37</v>
      </c>
      <c r="G186" s="1">
        <v>55</v>
      </c>
      <c r="H186" s="1" t="s">
        <v>38</v>
      </c>
      <c r="I186" s="1" t="s">
        <v>85</v>
      </c>
      <c r="J186" s="1" t="s">
        <v>1032</v>
      </c>
      <c r="K186" s="1">
        <v>10</v>
      </c>
      <c r="L186" s="1">
        <v>1012676</v>
      </c>
      <c r="M186" s="1">
        <v>0.88</v>
      </c>
      <c r="N186" s="1"/>
      <c r="O186" s="1" t="s">
        <v>29</v>
      </c>
      <c r="P186" s="1" t="s">
        <v>1033</v>
      </c>
      <c r="Q186" s="1" t="s">
        <v>1034</v>
      </c>
      <c r="R186" s="1">
        <v>2</v>
      </c>
      <c r="S186" s="1">
        <v>116</v>
      </c>
      <c r="T186" s="1" t="s">
        <v>66</v>
      </c>
    </row>
    <row r="187" spans="1:20" x14ac:dyDescent="0.3">
      <c r="A187" s="1" t="s">
        <v>1035</v>
      </c>
      <c r="B187" s="1" t="s">
        <v>1036</v>
      </c>
      <c r="C187" s="1" t="s">
        <v>230</v>
      </c>
      <c r="D187" s="1" t="s">
        <v>47</v>
      </c>
      <c r="E187" s="1" t="s">
        <v>60</v>
      </c>
      <c r="F187" s="1" t="s">
        <v>93</v>
      </c>
      <c r="G187" s="1">
        <v>44</v>
      </c>
      <c r="H187" s="1" t="s">
        <v>204</v>
      </c>
      <c r="I187" s="1" t="s">
        <v>125</v>
      </c>
      <c r="J187" s="1" t="s">
        <v>1037</v>
      </c>
      <c r="K187" s="1">
        <v>19.7</v>
      </c>
      <c r="L187" s="1">
        <v>1134490</v>
      </c>
      <c r="M187" s="1">
        <v>23.91</v>
      </c>
      <c r="N187" s="1">
        <v>4</v>
      </c>
      <c r="O187" s="1" t="s">
        <v>258</v>
      </c>
      <c r="P187" s="1" t="s">
        <v>1038</v>
      </c>
      <c r="Q187" s="1" t="s">
        <v>1039</v>
      </c>
      <c r="R187" s="1">
        <v>43</v>
      </c>
      <c r="S187" s="1">
        <v>78</v>
      </c>
      <c r="T187" s="1" t="s">
        <v>271</v>
      </c>
    </row>
    <row r="188" spans="1:20" x14ac:dyDescent="0.3">
      <c r="A188" s="1" t="s">
        <v>1040</v>
      </c>
      <c r="B188" s="1" t="s">
        <v>1041</v>
      </c>
      <c r="C188" s="1" t="s">
        <v>58</v>
      </c>
      <c r="D188" s="1" t="s">
        <v>256</v>
      </c>
      <c r="E188" s="1" t="s">
        <v>168</v>
      </c>
      <c r="F188" s="1" t="s">
        <v>37</v>
      </c>
      <c r="G188" s="1">
        <v>49</v>
      </c>
      <c r="H188" s="1" t="s">
        <v>50</v>
      </c>
      <c r="I188" s="1" t="s">
        <v>27</v>
      </c>
      <c r="J188" s="1" t="s">
        <v>1005</v>
      </c>
      <c r="K188" s="1">
        <v>29.5</v>
      </c>
      <c r="L188" s="1">
        <v>2303247</v>
      </c>
      <c r="M188" s="1">
        <v>2.36</v>
      </c>
      <c r="N188" s="1">
        <v>5</v>
      </c>
      <c r="O188" s="1" t="s">
        <v>41</v>
      </c>
      <c r="P188" s="1" t="s">
        <v>1042</v>
      </c>
      <c r="Q188" s="1" t="s">
        <v>1043</v>
      </c>
      <c r="R188" s="1">
        <v>72</v>
      </c>
      <c r="S188" s="1">
        <v>45</v>
      </c>
      <c r="T188" s="1" t="s">
        <v>653</v>
      </c>
    </row>
    <row r="189" spans="1:20" x14ac:dyDescent="0.3">
      <c r="A189" s="1" t="s">
        <v>1044</v>
      </c>
      <c r="B189" s="1" t="s">
        <v>1045</v>
      </c>
      <c r="C189" s="1" t="s">
        <v>100</v>
      </c>
      <c r="D189" s="1" t="s">
        <v>59</v>
      </c>
      <c r="E189" s="1" t="s">
        <v>175</v>
      </c>
      <c r="F189" s="1" t="s">
        <v>133</v>
      </c>
      <c r="G189" s="1">
        <v>26</v>
      </c>
      <c r="H189" s="1" t="s">
        <v>84</v>
      </c>
      <c r="I189" s="1" t="s">
        <v>85</v>
      </c>
      <c r="J189" s="1" t="s">
        <v>1046</v>
      </c>
      <c r="K189" s="1">
        <v>1.6</v>
      </c>
      <c r="L189" s="1">
        <v>1174709</v>
      </c>
      <c r="M189" s="1">
        <v>12.26</v>
      </c>
      <c r="N189" s="1">
        <v>3</v>
      </c>
      <c r="O189" s="1" t="s">
        <v>41</v>
      </c>
      <c r="P189" s="1" t="s">
        <v>1047</v>
      </c>
      <c r="Q189" s="1" t="s">
        <v>1048</v>
      </c>
      <c r="R189" s="1">
        <v>76</v>
      </c>
      <c r="S189" s="1">
        <v>61</v>
      </c>
      <c r="T189" s="1" t="s">
        <v>1049</v>
      </c>
    </row>
    <row r="190" spans="1:20" x14ac:dyDescent="0.3">
      <c r="A190" s="1" t="s">
        <v>1050</v>
      </c>
      <c r="B190" s="1" t="s">
        <v>1051</v>
      </c>
      <c r="C190" s="1" t="s">
        <v>110</v>
      </c>
      <c r="D190" s="1" t="s">
        <v>231</v>
      </c>
      <c r="E190" s="1" t="s">
        <v>36</v>
      </c>
      <c r="F190" s="1" t="s">
        <v>37</v>
      </c>
      <c r="G190" s="1">
        <v>43</v>
      </c>
      <c r="H190" s="1" t="s">
        <v>103</v>
      </c>
      <c r="I190" s="1" t="s">
        <v>125</v>
      </c>
      <c r="J190" s="1" t="s">
        <v>1052</v>
      </c>
      <c r="K190" s="1">
        <v>10.7</v>
      </c>
      <c r="L190" s="1">
        <v>2293420</v>
      </c>
      <c r="M190" s="1">
        <v>11.33</v>
      </c>
      <c r="N190" s="1">
        <v>3</v>
      </c>
      <c r="O190" s="1" t="s">
        <v>41</v>
      </c>
      <c r="P190" s="1" t="s">
        <v>1053</v>
      </c>
      <c r="Q190" s="1" t="s">
        <v>1054</v>
      </c>
      <c r="R190" s="1">
        <v>23</v>
      </c>
      <c r="S190" s="1">
        <v>80</v>
      </c>
      <c r="T190" s="1" t="s">
        <v>1055</v>
      </c>
    </row>
    <row r="191" spans="1:20" x14ac:dyDescent="0.3">
      <c r="A191" s="1" t="s">
        <v>1056</v>
      </c>
      <c r="B191" s="1" t="s">
        <v>1057</v>
      </c>
      <c r="C191" s="1" t="s">
        <v>58</v>
      </c>
      <c r="D191" s="1" t="s">
        <v>111</v>
      </c>
      <c r="E191" s="1" t="s">
        <v>92</v>
      </c>
      <c r="F191" s="1" t="s">
        <v>25</v>
      </c>
      <c r="G191" s="1">
        <v>52</v>
      </c>
      <c r="H191" s="1" t="s">
        <v>84</v>
      </c>
      <c r="I191" s="1" t="s">
        <v>39</v>
      </c>
      <c r="J191" s="1" t="s">
        <v>1058</v>
      </c>
      <c r="K191" s="1">
        <v>14.5</v>
      </c>
      <c r="L191" s="1">
        <v>2206230</v>
      </c>
      <c r="M191" s="1">
        <v>20.85</v>
      </c>
      <c r="N191" s="1" t="s">
        <v>577</v>
      </c>
      <c r="O191" s="1" t="s">
        <v>41</v>
      </c>
      <c r="P191" s="1" t="s">
        <v>1059</v>
      </c>
      <c r="Q191" s="1" t="s">
        <v>1060</v>
      </c>
      <c r="R191" s="1">
        <v>56</v>
      </c>
      <c r="S191" s="1">
        <v>7</v>
      </c>
      <c r="T191" s="1" t="s">
        <v>1061</v>
      </c>
    </row>
    <row r="192" spans="1:20" x14ac:dyDescent="0.3">
      <c r="A192" s="1" t="s">
        <v>1062</v>
      </c>
      <c r="B192" s="1" t="s">
        <v>1063</v>
      </c>
      <c r="C192" s="1" t="s">
        <v>230</v>
      </c>
      <c r="D192" s="1" t="s">
        <v>244</v>
      </c>
      <c r="E192" s="1" t="s">
        <v>71</v>
      </c>
      <c r="F192" s="1" t="s">
        <v>93</v>
      </c>
      <c r="G192" s="1">
        <v>57</v>
      </c>
      <c r="H192" s="1" t="s">
        <v>103</v>
      </c>
      <c r="I192" s="1" t="s">
        <v>85</v>
      </c>
      <c r="J192" s="1" t="s">
        <v>1064</v>
      </c>
      <c r="K192" s="1">
        <v>21.6</v>
      </c>
      <c r="L192" s="1">
        <v>2349033</v>
      </c>
      <c r="M192" s="1">
        <v>13.52</v>
      </c>
      <c r="N192" s="1">
        <v>4</v>
      </c>
      <c r="O192" s="1" t="s">
        <v>64</v>
      </c>
      <c r="P192" s="1" t="s">
        <v>1065</v>
      </c>
      <c r="Q192" s="1" t="s">
        <v>1066</v>
      </c>
      <c r="R192" s="1">
        <v>44</v>
      </c>
      <c r="S192" s="1">
        <v>74</v>
      </c>
      <c r="T192" s="1" t="s">
        <v>159</v>
      </c>
    </row>
    <row r="193" spans="1:20" x14ac:dyDescent="0.3">
      <c r="A193" s="1" t="s">
        <v>288</v>
      </c>
      <c r="B193" s="1" t="s">
        <v>1067</v>
      </c>
      <c r="C193" s="1" t="s">
        <v>132</v>
      </c>
      <c r="D193" s="1" t="s">
        <v>244</v>
      </c>
      <c r="E193" s="1" t="s">
        <v>71</v>
      </c>
      <c r="F193" s="1" t="s">
        <v>93</v>
      </c>
      <c r="G193" s="1">
        <v>27</v>
      </c>
      <c r="H193" s="1" t="s">
        <v>142</v>
      </c>
      <c r="I193" s="1" t="s">
        <v>198</v>
      </c>
      <c r="J193" s="1" t="s">
        <v>1068</v>
      </c>
      <c r="K193" s="1">
        <v>0.8</v>
      </c>
      <c r="L193" s="1">
        <v>356610</v>
      </c>
      <c r="M193" s="1">
        <v>11.97</v>
      </c>
      <c r="N193" s="1">
        <v>2</v>
      </c>
      <c r="O193" s="1" t="s">
        <v>258</v>
      </c>
      <c r="P193" s="1" t="s">
        <v>1069</v>
      </c>
      <c r="Q193" s="1" t="s">
        <v>1070</v>
      </c>
      <c r="R193" s="1">
        <v>69</v>
      </c>
      <c r="S193" s="1">
        <v>80</v>
      </c>
      <c r="T193" s="1" t="s">
        <v>1071</v>
      </c>
    </row>
    <row r="194" spans="1:20" x14ac:dyDescent="0.3">
      <c r="A194" s="1" t="s">
        <v>1072</v>
      </c>
      <c r="B194" s="1" t="s">
        <v>1073</v>
      </c>
      <c r="C194" s="1" t="s">
        <v>46</v>
      </c>
      <c r="D194" s="1" t="s">
        <v>217</v>
      </c>
      <c r="E194" s="1" t="s">
        <v>36</v>
      </c>
      <c r="F194" s="1" t="s">
        <v>133</v>
      </c>
      <c r="G194" s="1">
        <v>48</v>
      </c>
      <c r="H194" s="1" t="s">
        <v>62</v>
      </c>
      <c r="I194" s="1" t="s">
        <v>74</v>
      </c>
      <c r="J194" s="1" t="s">
        <v>1074</v>
      </c>
      <c r="K194" s="1">
        <v>17.3</v>
      </c>
      <c r="L194" s="1" t="s">
        <v>220</v>
      </c>
      <c r="M194" s="1">
        <v>15.25</v>
      </c>
      <c r="N194" s="1">
        <v>2</v>
      </c>
      <c r="O194" s="1" t="s">
        <v>64</v>
      </c>
      <c r="P194" s="1" t="s">
        <v>1075</v>
      </c>
      <c r="Q194" s="1" t="s">
        <v>1076</v>
      </c>
      <c r="R194" s="1">
        <v>80</v>
      </c>
      <c r="S194" s="1">
        <v>85</v>
      </c>
      <c r="T194" s="1" t="s">
        <v>559</v>
      </c>
    </row>
    <row r="195" spans="1:20" x14ac:dyDescent="0.3">
      <c r="A195" s="1" t="s">
        <v>1077</v>
      </c>
      <c r="B195" s="1" t="s">
        <v>1078</v>
      </c>
      <c r="C195" s="1" t="s">
        <v>35</v>
      </c>
      <c r="D195" s="1" t="s">
        <v>327</v>
      </c>
      <c r="E195" s="1" t="s">
        <v>71</v>
      </c>
      <c r="F195" s="1" t="s">
        <v>25</v>
      </c>
      <c r="G195" s="1">
        <v>37</v>
      </c>
      <c r="H195" s="1" t="s">
        <v>218</v>
      </c>
      <c r="I195" s="1" t="s">
        <v>125</v>
      </c>
      <c r="J195" s="1" t="s">
        <v>1079</v>
      </c>
      <c r="K195" s="1">
        <v>17.7</v>
      </c>
      <c r="L195" s="1">
        <v>1614538</v>
      </c>
      <c r="M195" s="1">
        <v>21.57</v>
      </c>
      <c r="N195" s="1">
        <v>4</v>
      </c>
      <c r="O195" s="1" t="s">
        <v>41</v>
      </c>
      <c r="P195" s="1" t="s">
        <v>1080</v>
      </c>
      <c r="Q195" s="1" t="s">
        <v>1081</v>
      </c>
      <c r="R195" s="1">
        <v>68</v>
      </c>
      <c r="S195" s="1">
        <v>14</v>
      </c>
      <c r="T195" s="1" t="s">
        <v>1061</v>
      </c>
    </row>
    <row r="196" spans="1:20" x14ac:dyDescent="0.3">
      <c r="A196" s="1" t="s">
        <v>1082</v>
      </c>
      <c r="B196" s="1" t="s">
        <v>1083</v>
      </c>
      <c r="C196" s="1" t="s">
        <v>255</v>
      </c>
      <c r="D196" s="1" t="s">
        <v>83</v>
      </c>
      <c r="E196" s="1" t="s">
        <v>168</v>
      </c>
      <c r="F196" s="1" t="s">
        <v>133</v>
      </c>
      <c r="G196" s="1">
        <v>44</v>
      </c>
      <c r="H196" s="1" t="s">
        <v>204</v>
      </c>
      <c r="I196" s="1" t="s">
        <v>39</v>
      </c>
      <c r="J196" s="1" t="s">
        <v>465</v>
      </c>
      <c r="K196" s="1">
        <v>27.3</v>
      </c>
      <c r="L196" s="1">
        <v>2315041</v>
      </c>
      <c r="M196" s="1">
        <v>9.85</v>
      </c>
      <c r="N196" s="1">
        <v>2</v>
      </c>
      <c r="O196" s="1" t="s">
        <v>41</v>
      </c>
      <c r="P196" s="1" t="s">
        <v>1084</v>
      </c>
      <c r="Q196" s="1" t="s">
        <v>1085</v>
      </c>
      <c r="R196" s="1">
        <v>25</v>
      </c>
      <c r="S196" s="1">
        <v>17</v>
      </c>
      <c r="T196" s="1" t="s">
        <v>457</v>
      </c>
    </row>
    <row r="197" spans="1:20" x14ac:dyDescent="0.3">
      <c r="A197" s="1" t="s">
        <v>559</v>
      </c>
      <c r="B197" s="1" t="s">
        <v>1086</v>
      </c>
      <c r="C197" s="1" t="s">
        <v>58</v>
      </c>
      <c r="D197" s="1" t="s">
        <v>217</v>
      </c>
      <c r="E197" s="1" t="s">
        <v>102</v>
      </c>
      <c r="F197" s="1" t="s">
        <v>72</v>
      </c>
      <c r="G197" s="1">
        <v>200</v>
      </c>
      <c r="H197" s="1" t="s">
        <v>218</v>
      </c>
      <c r="I197" s="1" t="s">
        <v>39</v>
      </c>
      <c r="J197" s="1" t="s">
        <v>1087</v>
      </c>
      <c r="K197" s="1">
        <v>22</v>
      </c>
      <c r="L197" s="1">
        <v>927130</v>
      </c>
      <c r="M197" s="1">
        <v>0.41</v>
      </c>
      <c r="N197" s="1">
        <v>1</v>
      </c>
      <c r="O197" s="1" t="s">
        <v>135</v>
      </c>
      <c r="P197" s="1" t="s">
        <v>1088</v>
      </c>
      <c r="Q197" s="1" t="s">
        <v>1089</v>
      </c>
      <c r="R197" s="1">
        <v>30</v>
      </c>
      <c r="S197" s="1">
        <v>37</v>
      </c>
      <c r="T197" s="1"/>
    </row>
    <row r="198" spans="1:20" x14ac:dyDescent="0.3">
      <c r="A198" s="1" t="s">
        <v>1090</v>
      </c>
      <c r="B198" s="1" t="s">
        <v>1091</v>
      </c>
      <c r="C198" s="1" t="s">
        <v>100</v>
      </c>
      <c r="D198" s="1" t="s">
        <v>23</v>
      </c>
      <c r="E198" s="1" t="s">
        <v>102</v>
      </c>
      <c r="F198" s="1" t="s">
        <v>93</v>
      </c>
      <c r="G198" s="1">
        <v>54</v>
      </c>
      <c r="H198" s="1" t="s">
        <v>84</v>
      </c>
      <c r="I198" s="1" t="s">
        <v>118</v>
      </c>
      <c r="J198" s="1" t="s">
        <v>1092</v>
      </c>
      <c r="K198" s="1">
        <v>2.7</v>
      </c>
      <c r="L198" s="1">
        <v>2379682</v>
      </c>
      <c r="M198" s="1">
        <v>20.03</v>
      </c>
      <c r="N198" s="1">
        <v>4</v>
      </c>
      <c r="O198" s="1" t="s">
        <v>29</v>
      </c>
      <c r="P198" s="1" t="s">
        <v>1093</v>
      </c>
      <c r="Q198" s="1" t="s">
        <v>1094</v>
      </c>
      <c r="R198" s="1">
        <v>63</v>
      </c>
      <c r="S198" s="1">
        <v>15</v>
      </c>
      <c r="T198" s="1" t="s">
        <v>756</v>
      </c>
    </row>
    <row r="199" spans="1:20" x14ac:dyDescent="0.3">
      <c r="A199" s="1" t="s">
        <v>1095</v>
      </c>
      <c r="B199" s="1" t="s">
        <v>1096</v>
      </c>
      <c r="C199" s="1" t="s">
        <v>197</v>
      </c>
      <c r="D199" s="1" t="s">
        <v>23</v>
      </c>
      <c r="E199" s="1" t="s">
        <v>290</v>
      </c>
      <c r="F199" s="1" t="s">
        <v>133</v>
      </c>
      <c r="G199" s="1">
        <v>42</v>
      </c>
      <c r="H199" s="1" t="s">
        <v>73</v>
      </c>
      <c r="I199" s="1" t="s">
        <v>198</v>
      </c>
      <c r="J199" s="1" t="s">
        <v>1097</v>
      </c>
      <c r="K199" s="1">
        <v>16.899999999999999</v>
      </c>
      <c r="L199" s="1">
        <v>2297275</v>
      </c>
      <c r="M199" s="1">
        <v>20.49</v>
      </c>
      <c r="N199" s="1">
        <v>3</v>
      </c>
      <c r="O199" s="1" t="s">
        <v>135</v>
      </c>
      <c r="P199" s="1" t="s">
        <v>1098</v>
      </c>
      <c r="Q199" s="1" t="s">
        <v>1099</v>
      </c>
      <c r="R199" s="1">
        <v>60</v>
      </c>
      <c r="S199" s="1">
        <v>40</v>
      </c>
      <c r="T199" s="1" t="s">
        <v>1100</v>
      </c>
    </row>
    <row r="200" spans="1:20" x14ac:dyDescent="0.3">
      <c r="A200" s="1" t="s">
        <v>107</v>
      </c>
      <c r="B200" s="1" t="s">
        <v>1101</v>
      </c>
      <c r="C200" s="1" t="s">
        <v>35</v>
      </c>
      <c r="D200" s="1" t="s">
        <v>70</v>
      </c>
      <c r="E200" s="1" t="s">
        <v>24</v>
      </c>
      <c r="F200" s="1" t="s">
        <v>133</v>
      </c>
      <c r="G200" s="1">
        <v>49</v>
      </c>
      <c r="H200" s="1" t="s">
        <v>26</v>
      </c>
      <c r="I200" s="1" t="s">
        <v>51</v>
      </c>
      <c r="J200" s="1" t="s">
        <v>1102</v>
      </c>
      <c r="K200" s="1">
        <v>24.5</v>
      </c>
      <c r="L200" s="1">
        <v>883993</v>
      </c>
      <c r="M200" s="1">
        <v>16.98</v>
      </c>
      <c r="N200" s="1">
        <v>4</v>
      </c>
      <c r="O200" s="1" t="s">
        <v>41</v>
      </c>
      <c r="P200" s="1" t="s">
        <v>1103</v>
      </c>
      <c r="Q200" s="1" t="s">
        <v>1104</v>
      </c>
      <c r="R200" s="1">
        <v>52</v>
      </c>
      <c r="S200" s="1">
        <v>35</v>
      </c>
      <c r="T200" s="1" t="s">
        <v>938</v>
      </c>
    </row>
    <row r="201" spans="1:20" x14ac:dyDescent="0.3">
      <c r="A201" s="1" t="s">
        <v>1105</v>
      </c>
      <c r="B201" s="1" t="s">
        <v>1106</v>
      </c>
      <c r="C201" s="1" t="s">
        <v>230</v>
      </c>
      <c r="D201" s="1" t="s">
        <v>256</v>
      </c>
      <c r="E201" s="1" t="s">
        <v>60</v>
      </c>
      <c r="F201" s="1" t="s">
        <v>72</v>
      </c>
      <c r="G201" s="1">
        <v>23</v>
      </c>
      <c r="H201" s="1" t="s">
        <v>73</v>
      </c>
      <c r="I201" s="1" t="s">
        <v>74</v>
      </c>
      <c r="J201" s="1" t="s">
        <v>1107</v>
      </c>
      <c r="K201" s="1">
        <v>20</v>
      </c>
      <c r="L201" s="1">
        <v>446001</v>
      </c>
      <c r="M201" s="1">
        <v>9.7100000000000009</v>
      </c>
      <c r="N201" s="1">
        <v>3</v>
      </c>
      <c r="O201" s="1" t="s">
        <v>41</v>
      </c>
      <c r="P201" s="1" t="s">
        <v>1108</v>
      </c>
      <c r="Q201" s="1" t="s">
        <v>1109</v>
      </c>
      <c r="R201" s="1">
        <v>50</v>
      </c>
      <c r="S201" s="1">
        <v>117</v>
      </c>
      <c r="T201" s="1" t="s">
        <v>653</v>
      </c>
    </row>
    <row r="202" spans="1:20" x14ac:dyDescent="0.3">
      <c r="A202" s="1" t="s">
        <v>1110</v>
      </c>
      <c r="B202" s="1" t="s">
        <v>1111</v>
      </c>
      <c r="C202" s="1" t="s">
        <v>100</v>
      </c>
      <c r="D202" s="1" t="s">
        <v>231</v>
      </c>
      <c r="E202" s="1" t="s">
        <v>189</v>
      </c>
      <c r="F202" s="1" t="s">
        <v>49</v>
      </c>
      <c r="G202" s="1">
        <v>41</v>
      </c>
      <c r="H202" s="1" t="s">
        <v>73</v>
      </c>
      <c r="I202" s="1" t="s">
        <v>39</v>
      </c>
      <c r="J202" s="1" t="s">
        <v>1112</v>
      </c>
      <c r="K202" s="1">
        <v>4.2</v>
      </c>
      <c r="L202" s="1">
        <v>2405897</v>
      </c>
      <c r="M202" s="1">
        <v>4.42</v>
      </c>
      <c r="N202" s="1">
        <v>4</v>
      </c>
      <c r="O202" s="1" t="s">
        <v>41</v>
      </c>
      <c r="P202" s="1" t="s">
        <v>1113</v>
      </c>
      <c r="Q202" s="1" t="s">
        <v>1114</v>
      </c>
      <c r="R202" s="1">
        <v>69</v>
      </c>
      <c r="S202" s="1">
        <v>36</v>
      </c>
      <c r="T202" s="1" t="s">
        <v>194</v>
      </c>
    </row>
    <row r="203" spans="1:20" x14ac:dyDescent="0.3">
      <c r="A203" s="1" t="s">
        <v>1115</v>
      </c>
      <c r="B203" s="1" t="s">
        <v>1116</v>
      </c>
      <c r="C203" s="1" t="s">
        <v>58</v>
      </c>
      <c r="D203" s="1" t="s">
        <v>70</v>
      </c>
      <c r="E203" s="1" t="s">
        <v>189</v>
      </c>
      <c r="F203" s="1" t="s">
        <v>37</v>
      </c>
      <c r="G203" s="1">
        <v>26</v>
      </c>
      <c r="H203" s="1" t="s">
        <v>62</v>
      </c>
      <c r="I203" s="1" t="s">
        <v>51</v>
      </c>
      <c r="J203" s="1" t="s">
        <v>1117</v>
      </c>
      <c r="K203" s="1">
        <v>9.6</v>
      </c>
      <c r="L203" s="1">
        <v>2051437</v>
      </c>
      <c r="M203" s="1">
        <v>11.23</v>
      </c>
      <c r="N203" s="1">
        <v>5</v>
      </c>
      <c r="O203" s="1" t="s">
        <v>41</v>
      </c>
      <c r="P203" s="1" t="s">
        <v>1118</v>
      </c>
      <c r="Q203" s="1" t="s">
        <v>1119</v>
      </c>
      <c r="R203" s="1">
        <v>41</v>
      </c>
      <c r="S203" s="1">
        <v>79</v>
      </c>
      <c r="T203" s="1" t="s">
        <v>933</v>
      </c>
    </row>
    <row r="204" spans="1:20" x14ac:dyDescent="0.3">
      <c r="A204" s="1" t="s">
        <v>1120</v>
      </c>
      <c r="B204" s="1" t="s">
        <v>1121</v>
      </c>
      <c r="C204" s="1" t="s">
        <v>58</v>
      </c>
      <c r="D204" s="1" t="s">
        <v>182</v>
      </c>
      <c r="E204" s="1" t="s">
        <v>155</v>
      </c>
      <c r="F204" s="1" t="s">
        <v>49</v>
      </c>
      <c r="G204" s="1">
        <v>42</v>
      </c>
      <c r="H204" s="1" t="s">
        <v>38</v>
      </c>
      <c r="I204" s="1" t="s">
        <v>118</v>
      </c>
      <c r="J204" s="1" t="s">
        <v>1122</v>
      </c>
      <c r="K204" s="1">
        <v>18</v>
      </c>
      <c r="L204" s="1">
        <v>1194359</v>
      </c>
      <c r="M204" s="1">
        <v>19.78</v>
      </c>
      <c r="N204" s="1">
        <v>3</v>
      </c>
      <c r="O204" s="1" t="s">
        <v>64</v>
      </c>
      <c r="P204" s="1" t="s">
        <v>1123</v>
      </c>
      <c r="Q204" s="1"/>
      <c r="R204" s="1">
        <v>48</v>
      </c>
      <c r="S204" s="1">
        <v>2</v>
      </c>
      <c r="T204" s="1" t="s">
        <v>865</v>
      </c>
    </row>
    <row r="205" spans="1:20" x14ac:dyDescent="0.3">
      <c r="A205" s="1" t="s">
        <v>1124</v>
      </c>
      <c r="B205" s="1" t="s">
        <v>1125</v>
      </c>
      <c r="C205" s="1" t="s">
        <v>58</v>
      </c>
      <c r="D205" s="1" t="s">
        <v>70</v>
      </c>
      <c r="E205" s="1" t="s">
        <v>92</v>
      </c>
      <c r="F205" s="1" t="s">
        <v>49</v>
      </c>
      <c r="G205" s="1">
        <v>27</v>
      </c>
      <c r="H205" s="1" t="s">
        <v>204</v>
      </c>
      <c r="I205" s="1" t="s">
        <v>74</v>
      </c>
      <c r="J205" s="1" t="s">
        <v>428</v>
      </c>
      <c r="K205" s="1">
        <v>24.6</v>
      </c>
      <c r="L205" s="1">
        <v>358199</v>
      </c>
      <c r="M205" s="1">
        <v>7.52</v>
      </c>
      <c r="N205" s="1">
        <v>3</v>
      </c>
      <c r="O205" s="1" t="s">
        <v>29</v>
      </c>
      <c r="P205" s="1" t="s">
        <v>1126</v>
      </c>
      <c r="Q205" s="1" t="s">
        <v>1127</v>
      </c>
      <c r="R205" s="1">
        <v>60</v>
      </c>
      <c r="S205" s="1">
        <v>14</v>
      </c>
      <c r="T205" s="1" t="s">
        <v>522</v>
      </c>
    </row>
    <row r="206" spans="1:20" x14ac:dyDescent="0.3">
      <c r="A206" s="1" t="s">
        <v>1128</v>
      </c>
      <c r="B206" s="1" t="s">
        <v>1129</v>
      </c>
      <c r="C206" s="1" t="s">
        <v>132</v>
      </c>
      <c r="D206" s="1" t="s">
        <v>217</v>
      </c>
      <c r="E206" s="1" t="s">
        <v>175</v>
      </c>
      <c r="F206" s="1" t="s">
        <v>61</v>
      </c>
      <c r="G206" s="1">
        <v>26</v>
      </c>
      <c r="H206" s="1" t="s">
        <v>103</v>
      </c>
      <c r="I206" s="1" t="s">
        <v>198</v>
      </c>
      <c r="J206" s="1" t="s">
        <v>1130</v>
      </c>
      <c r="K206" s="1">
        <v>1.1000000000000001</v>
      </c>
      <c r="L206" s="1">
        <v>893873</v>
      </c>
      <c r="M206" s="1">
        <v>4.2699999999999996</v>
      </c>
      <c r="N206" s="1" t="s">
        <v>577</v>
      </c>
      <c r="O206" s="1" t="s">
        <v>76</v>
      </c>
      <c r="P206" s="1" t="s">
        <v>1131</v>
      </c>
      <c r="Q206" s="1" t="s">
        <v>1132</v>
      </c>
      <c r="R206" s="1">
        <v>13</v>
      </c>
      <c r="S206" s="1">
        <v>76</v>
      </c>
      <c r="T206" s="1" t="s">
        <v>832</v>
      </c>
    </row>
    <row r="207" spans="1:20" x14ac:dyDescent="0.3">
      <c r="A207" s="1" t="s">
        <v>938</v>
      </c>
      <c r="B207" s="1" t="s">
        <v>1133</v>
      </c>
      <c r="C207" s="1" t="s">
        <v>69</v>
      </c>
      <c r="D207" s="1" t="s">
        <v>101</v>
      </c>
      <c r="E207" s="1" t="s">
        <v>36</v>
      </c>
      <c r="F207" s="1" t="s">
        <v>37</v>
      </c>
      <c r="G207" s="1">
        <v>28</v>
      </c>
      <c r="H207" s="1" t="s">
        <v>84</v>
      </c>
      <c r="I207" s="1" t="s">
        <v>51</v>
      </c>
      <c r="J207" s="1" t="s">
        <v>1134</v>
      </c>
      <c r="K207" s="1">
        <v>22.3</v>
      </c>
      <c r="L207" s="1">
        <v>989351</v>
      </c>
      <c r="M207" s="1">
        <v>9.89</v>
      </c>
      <c r="N207" s="1">
        <v>4</v>
      </c>
      <c r="O207" s="1" t="s">
        <v>29</v>
      </c>
      <c r="P207" s="1" t="s">
        <v>1135</v>
      </c>
      <c r="Q207" s="1" t="s">
        <v>1136</v>
      </c>
      <c r="R207" s="1">
        <v>25</v>
      </c>
      <c r="S207" s="1">
        <v>54</v>
      </c>
      <c r="T207" s="1"/>
    </row>
    <row r="208" spans="1:20" x14ac:dyDescent="0.3">
      <c r="A208" s="1" t="s">
        <v>1137</v>
      </c>
      <c r="B208" s="1" t="s">
        <v>1138</v>
      </c>
      <c r="C208" s="1" t="s">
        <v>197</v>
      </c>
      <c r="D208" s="1" t="s">
        <v>101</v>
      </c>
      <c r="E208" s="1" t="s">
        <v>92</v>
      </c>
      <c r="F208" s="1" t="s">
        <v>190</v>
      </c>
      <c r="G208" s="1">
        <v>42</v>
      </c>
      <c r="H208" s="1" t="s">
        <v>62</v>
      </c>
      <c r="I208" s="1" t="s">
        <v>198</v>
      </c>
      <c r="J208" s="1" t="s">
        <v>1139</v>
      </c>
      <c r="K208" s="1">
        <v>21.2</v>
      </c>
      <c r="L208" s="1">
        <v>1792489</v>
      </c>
      <c r="M208" s="1">
        <v>3.79</v>
      </c>
      <c r="N208" s="1" t="s">
        <v>220</v>
      </c>
      <c r="O208" s="1" t="s">
        <v>258</v>
      </c>
      <c r="P208" s="1" t="s">
        <v>1140</v>
      </c>
      <c r="Q208" s="1" t="s">
        <v>1141</v>
      </c>
      <c r="R208" s="1">
        <v>80</v>
      </c>
      <c r="S208" s="1">
        <v>91</v>
      </c>
      <c r="T208" s="1" t="s">
        <v>594</v>
      </c>
    </row>
    <row r="209" spans="1:20" x14ac:dyDescent="0.3">
      <c r="A209" s="1" t="s">
        <v>1142</v>
      </c>
      <c r="B209" s="1" t="s">
        <v>1143</v>
      </c>
      <c r="C209" s="1" t="s">
        <v>132</v>
      </c>
      <c r="D209" s="1" t="s">
        <v>70</v>
      </c>
      <c r="E209" s="1" t="s">
        <v>290</v>
      </c>
      <c r="F209" s="1" t="s">
        <v>190</v>
      </c>
      <c r="G209" s="1">
        <v>25</v>
      </c>
      <c r="H209" s="1" t="s">
        <v>84</v>
      </c>
      <c r="I209" s="1" t="s">
        <v>85</v>
      </c>
      <c r="J209" s="1" t="s">
        <v>1144</v>
      </c>
      <c r="K209" s="1">
        <v>27</v>
      </c>
      <c r="L209" s="1">
        <v>1447707</v>
      </c>
      <c r="M209" s="1">
        <v>13.81</v>
      </c>
      <c r="N209" s="1">
        <v>5</v>
      </c>
      <c r="O209" s="1" t="s">
        <v>76</v>
      </c>
      <c r="P209" s="1" t="s">
        <v>1145</v>
      </c>
      <c r="Q209" s="1" t="s">
        <v>1146</v>
      </c>
      <c r="R209" s="1">
        <v>30</v>
      </c>
      <c r="S209" s="1">
        <v>49</v>
      </c>
      <c r="T209" s="1" t="s">
        <v>778</v>
      </c>
    </row>
    <row r="210" spans="1:20" x14ac:dyDescent="0.3">
      <c r="A210" s="1" t="s">
        <v>1147</v>
      </c>
      <c r="B210" s="1" t="s">
        <v>131</v>
      </c>
      <c r="C210" s="1" t="s">
        <v>46</v>
      </c>
      <c r="D210" s="1" t="s">
        <v>23</v>
      </c>
      <c r="E210" s="1" t="s">
        <v>102</v>
      </c>
      <c r="F210" s="1" t="s">
        <v>133</v>
      </c>
      <c r="G210" s="1">
        <v>53</v>
      </c>
      <c r="H210" s="1" t="s">
        <v>26</v>
      </c>
      <c r="I210" s="1" t="s">
        <v>74</v>
      </c>
      <c r="J210" s="1" t="s">
        <v>1148</v>
      </c>
      <c r="K210" s="1">
        <v>22.4</v>
      </c>
      <c r="L210" s="1">
        <v>1499945</v>
      </c>
      <c r="M210" s="1">
        <v>21.61</v>
      </c>
      <c r="N210" s="1">
        <v>2</v>
      </c>
      <c r="O210" s="1" t="s">
        <v>41</v>
      </c>
      <c r="P210" s="1" t="s">
        <v>1149</v>
      </c>
      <c r="Q210" s="1" t="s">
        <v>1150</v>
      </c>
      <c r="R210" s="1">
        <v>67</v>
      </c>
      <c r="S210" s="1">
        <v>106</v>
      </c>
      <c r="T210" s="1" t="s">
        <v>360</v>
      </c>
    </row>
    <row r="211" spans="1:20" x14ac:dyDescent="0.3">
      <c r="A211" s="1" t="s">
        <v>1151</v>
      </c>
      <c r="B211" s="1" t="s">
        <v>1152</v>
      </c>
      <c r="C211" s="1" t="s">
        <v>35</v>
      </c>
      <c r="D211" s="1" t="s">
        <v>83</v>
      </c>
      <c r="E211" s="1" t="s">
        <v>102</v>
      </c>
      <c r="F211" s="1" t="s">
        <v>133</v>
      </c>
      <c r="G211" s="1">
        <v>48</v>
      </c>
      <c r="H211" s="1" t="s">
        <v>26</v>
      </c>
      <c r="I211" s="1" t="s">
        <v>125</v>
      </c>
      <c r="J211" s="1" t="s">
        <v>1153</v>
      </c>
      <c r="K211" s="1"/>
      <c r="L211" s="1">
        <v>620446</v>
      </c>
      <c r="M211" s="1">
        <v>7.62</v>
      </c>
      <c r="N211" s="1">
        <v>4</v>
      </c>
      <c r="O211" s="1" t="s">
        <v>135</v>
      </c>
      <c r="P211" s="1" t="s">
        <v>1154</v>
      </c>
      <c r="Q211" s="1" t="s">
        <v>1155</v>
      </c>
      <c r="R211" s="1">
        <v>15</v>
      </c>
      <c r="S211" s="1">
        <v>109</v>
      </c>
      <c r="T211" s="1" t="s">
        <v>287</v>
      </c>
    </row>
    <row r="212" spans="1:20" x14ac:dyDescent="0.3">
      <c r="A212" s="1" t="s">
        <v>1156</v>
      </c>
      <c r="B212" s="1" t="s">
        <v>748</v>
      </c>
      <c r="C212" s="1" t="s">
        <v>35</v>
      </c>
      <c r="D212" s="1" t="s">
        <v>217</v>
      </c>
      <c r="E212" s="1" t="s">
        <v>60</v>
      </c>
      <c r="F212" s="1" t="s">
        <v>37</v>
      </c>
      <c r="G212" s="1">
        <v>25</v>
      </c>
      <c r="H212" s="1" t="s">
        <v>84</v>
      </c>
      <c r="I212" s="1" t="s">
        <v>198</v>
      </c>
      <c r="J212" s="1" t="s">
        <v>1157</v>
      </c>
      <c r="K212" s="1">
        <v>10</v>
      </c>
      <c r="L212" s="1">
        <v>881894</v>
      </c>
      <c r="M212" s="1">
        <v>19.62</v>
      </c>
      <c r="N212" s="1">
        <v>3</v>
      </c>
      <c r="O212" s="1" t="s">
        <v>64</v>
      </c>
      <c r="P212" s="1" t="s">
        <v>1158</v>
      </c>
      <c r="Q212" s="1" t="s">
        <v>1159</v>
      </c>
      <c r="R212" s="1">
        <v>38</v>
      </c>
      <c r="S212" s="1">
        <v>42</v>
      </c>
      <c r="T212" s="1" t="s">
        <v>287</v>
      </c>
    </row>
    <row r="213" spans="1:20" x14ac:dyDescent="0.3">
      <c r="A213" s="1" t="s">
        <v>1160</v>
      </c>
      <c r="B213" s="1" t="s">
        <v>1161</v>
      </c>
      <c r="C213" s="1" t="s">
        <v>22</v>
      </c>
      <c r="D213" s="1" t="s">
        <v>217</v>
      </c>
      <c r="E213" s="1" t="s">
        <v>60</v>
      </c>
      <c r="F213" s="1" t="s">
        <v>93</v>
      </c>
      <c r="G213" s="1">
        <v>55</v>
      </c>
      <c r="H213" s="1" t="s">
        <v>103</v>
      </c>
      <c r="I213" s="1" t="s">
        <v>74</v>
      </c>
      <c r="J213" s="1" t="s">
        <v>1162</v>
      </c>
      <c r="K213" s="1">
        <v>2.8</v>
      </c>
      <c r="L213" s="1">
        <v>595229</v>
      </c>
      <c r="M213" s="1">
        <v>4.47</v>
      </c>
      <c r="N213" s="1">
        <v>4</v>
      </c>
      <c r="O213" s="1" t="s">
        <v>41</v>
      </c>
      <c r="P213" s="1" t="s">
        <v>1163</v>
      </c>
      <c r="Q213" s="1" t="s">
        <v>1164</v>
      </c>
      <c r="R213" s="1">
        <v>53</v>
      </c>
      <c r="S213" s="1">
        <v>98</v>
      </c>
      <c r="T213" s="1" t="s">
        <v>677</v>
      </c>
    </row>
    <row r="214" spans="1:20" x14ac:dyDescent="0.3">
      <c r="A214" s="1" t="s">
        <v>812</v>
      </c>
      <c r="B214" s="1" t="s">
        <v>1165</v>
      </c>
      <c r="C214" s="1" t="s">
        <v>58</v>
      </c>
      <c r="D214" s="1" t="s">
        <v>59</v>
      </c>
      <c r="E214" s="1" t="s">
        <v>92</v>
      </c>
      <c r="F214" s="1" t="s">
        <v>190</v>
      </c>
      <c r="G214" s="1">
        <v>55</v>
      </c>
      <c r="H214" s="1" t="s">
        <v>73</v>
      </c>
      <c r="I214" s="1" t="s">
        <v>118</v>
      </c>
      <c r="J214" s="1" t="s">
        <v>1166</v>
      </c>
      <c r="K214" s="1">
        <v>1</v>
      </c>
      <c r="L214" s="1">
        <v>2075895</v>
      </c>
      <c r="M214" s="1">
        <v>13.49</v>
      </c>
      <c r="N214" s="1">
        <v>4</v>
      </c>
      <c r="O214" s="1" t="s">
        <v>41</v>
      </c>
      <c r="P214" s="1" t="s">
        <v>1167</v>
      </c>
      <c r="Q214" s="1" t="s">
        <v>1168</v>
      </c>
      <c r="R214" s="1">
        <v>67</v>
      </c>
      <c r="S214" s="1">
        <v>43</v>
      </c>
      <c r="T214" s="1" t="s">
        <v>213</v>
      </c>
    </row>
    <row r="215" spans="1:20" x14ac:dyDescent="0.3">
      <c r="A215" s="1" t="s">
        <v>1169</v>
      </c>
      <c r="B215" s="1" t="s">
        <v>1170</v>
      </c>
      <c r="C215" s="1" t="s">
        <v>46</v>
      </c>
      <c r="D215" s="1" t="s">
        <v>244</v>
      </c>
      <c r="E215" s="1" t="s">
        <v>189</v>
      </c>
      <c r="F215" s="1" t="s">
        <v>190</v>
      </c>
      <c r="G215" s="1">
        <v>28</v>
      </c>
      <c r="H215" s="1" t="s">
        <v>204</v>
      </c>
      <c r="I215" s="1" t="s">
        <v>85</v>
      </c>
      <c r="J215" s="1" t="s">
        <v>1171</v>
      </c>
      <c r="K215" s="1">
        <v>13.3</v>
      </c>
      <c r="L215" s="1">
        <v>1600157</v>
      </c>
      <c r="M215" s="1"/>
      <c r="N215" s="1">
        <v>3</v>
      </c>
      <c r="O215" s="1" t="s">
        <v>76</v>
      </c>
      <c r="P215" s="1" t="s">
        <v>1172</v>
      </c>
      <c r="Q215" s="1" t="s">
        <v>365</v>
      </c>
      <c r="R215" s="1">
        <v>66</v>
      </c>
      <c r="S215" s="1">
        <v>88</v>
      </c>
      <c r="T215" s="1" t="s">
        <v>66</v>
      </c>
    </row>
    <row r="216" spans="1:20" x14ac:dyDescent="0.3">
      <c r="A216" s="1" t="s">
        <v>1173</v>
      </c>
      <c r="B216" s="1" t="s">
        <v>1174</v>
      </c>
      <c r="C216" s="1" t="s">
        <v>132</v>
      </c>
      <c r="D216" s="1" t="s">
        <v>47</v>
      </c>
      <c r="E216" s="1" t="s">
        <v>102</v>
      </c>
      <c r="F216" s="1" t="s">
        <v>61</v>
      </c>
      <c r="G216" s="1">
        <v>33</v>
      </c>
      <c r="H216" s="1" t="s">
        <v>84</v>
      </c>
      <c r="I216" s="1" t="s">
        <v>125</v>
      </c>
      <c r="J216" s="1" t="s">
        <v>1175</v>
      </c>
      <c r="K216" s="1"/>
      <c r="L216" s="1">
        <v>1939341</v>
      </c>
      <c r="M216" s="1">
        <v>20.29</v>
      </c>
      <c r="N216" s="1">
        <v>4</v>
      </c>
      <c r="O216" s="1" t="s">
        <v>64</v>
      </c>
      <c r="P216" s="1" t="s">
        <v>1176</v>
      </c>
      <c r="Q216" s="1" t="s">
        <v>1177</v>
      </c>
      <c r="R216" s="1">
        <v>13</v>
      </c>
      <c r="S216" s="1">
        <v>39</v>
      </c>
      <c r="T216" s="1" t="s">
        <v>294</v>
      </c>
    </row>
    <row r="217" spans="1:20" x14ac:dyDescent="0.3">
      <c r="A217" s="1" t="s">
        <v>1178</v>
      </c>
      <c r="B217" s="1" t="s">
        <v>254</v>
      </c>
      <c r="C217" s="1" t="s">
        <v>82</v>
      </c>
      <c r="D217" s="1" t="s">
        <v>59</v>
      </c>
      <c r="E217" s="1" t="s">
        <v>168</v>
      </c>
      <c r="F217" s="1" t="s">
        <v>37</v>
      </c>
      <c r="G217" s="1">
        <v>23</v>
      </c>
      <c r="H217" s="1" t="s">
        <v>73</v>
      </c>
      <c r="I217" s="1" t="s">
        <v>125</v>
      </c>
      <c r="J217" s="1" t="s">
        <v>1179</v>
      </c>
      <c r="K217" s="1">
        <v>5.7</v>
      </c>
      <c r="L217" s="1">
        <v>748998</v>
      </c>
      <c r="M217" s="1">
        <v>21.78</v>
      </c>
      <c r="N217" s="1"/>
      <c r="O217" s="1" t="s">
        <v>41</v>
      </c>
      <c r="P217" s="1" t="s">
        <v>1180</v>
      </c>
      <c r="Q217" s="1" t="s">
        <v>1181</v>
      </c>
      <c r="R217" s="1">
        <v>42</v>
      </c>
      <c r="S217" s="1">
        <v>13</v>
      </c>
      <c r="T217" s="1" t="s">
        <v>832</v>
      </c>
    </row>
    <row r="218" spans="1:20" x14ac:dyDescent="0.3">
      <c r="A218" s="1" t="s">
        <v>1182</v>
      </c>
      <c r="B218" s="1" t="s">
        <v>1183</v>
      </c>
      <c r="C218" s="1" t="s">
        <v>197</v>
      </c>
      <c r="D218" s="1" t="s">
        <v>256</v>
      </c>
      <c r="E218" s="1" t="s">
        <v>189</v>
      </c>
      <c r="F218" s="1" t="s">
        <v>61</v>
      </c>
      <c r="G218" s="1">
        <v>39</v>
      </c>
      <c r="H218" s="1" t="s">
        <v>26</v>
      </c>
      <c r="I218" s="1" t="s">
        <v>27</v>
      </c>
      <c r="J218" s="1" t="s">
        <v>1184</v>
      </c>
      <c r="K218" s="1">
        <v>23.2</v>
      </c>
      <c r="L218" s="1">
        <v>1057126</v>
      </c>
      <c r="M218" s="1">
        <v>21.44</v>
      </c>
      <c r="N218" s="1" t="s">
        <v>220</v>
      </c>
      <c r="O218" s="1" t="s">
        <v>64</v>
      </c>
      <c r="P218" s="1" t="s">
        <v>1185</v>
      </c>
      <c r="Q218" s="1" t="s">
        <v>1186</v>
      </c>
      <c r="R218" s="1">
        <v>35</v>
      </c>
      <c r="S218" s="1">
        <v>113</v>
      </c>
      <c r="T218" s="1" t="s">
        <v>408</v>
      </c>
    </row>
    <row r="219" spans="1:20" x14ac:dyDescent="0.3">
      <c r="A219" s="1" t="s">
        <v>1187</v>
      </c>
      <c r="B219" s="1" t="s">
        <v>1188</v>
      </c>
      <c r="C219" s="1" t="s">
        <v>22</v>
      </c>
      <c r="D219" s="1" t="s">
        <v>182</v>
      </c>
      <c r="E219" s="1" t="s">
        <v>290</v>
      </c>
      <c r="F219" s="1" t="s">
        <v>49</v>
      </c>
      <c r="G219" s="1">
        <v>28</v>
      </c>
      <c r="H219" s="1" t="s">
        <v>204</v>
      </c>
      <c r="I219" s="1" t="s">
        <v>51</v>
      </c>
      <c r="J219" s="1" t="s">
        <v>1189</v>
      </c>
      <c r="K219" s="1">
        <v>16.3</v>
      </c>
      <c r="L219" s="1">
        <v>1363812</v>
      </c>
      <c r="M219" s="1">
        <v>6.34</v>
      </c>
      <c r="N219" s="1">
        <v>4</v>
      </c>
      <c r="O219" s="1" t="s">
        <v>64</v>
      </c>
      <c r="P219" s="1" t="s">
        <v>1190</v>
      </c>
      <c r="Q219" s="1" t="s">
        <v>1191</v>
      </c>
      <c r="R219" s="1">
        <v>44</v>
      </c>
      <c r="S219" s="1">
        <v>50</v>
      </c>
      <c r="T219" s="1" t="s">
        <v>397</v>
      </c>
    </row>
    <row r="220" spans="1:20" x14ac:dyDescent="0.3">
      <c r="A220" s="1" t="s">
        <v>1192</v>
      </c>
      <c r="B220" s="1" t="s">
        <v>1193</v>
      </c>
      <c r="C220" s="1" t="s">
        <v>82</v>
      </c>
      <c r="D220" s="1" t="s">
        <v>70</v>
      </c>
      <c r="E220" s="1" t="s">
        <v>92</v>
      </c>
      <c r="F220" s="1" t="s">
        <v>49</v>
      </c>
      <c r="G220" s="1">
        <v>43</v>
      </c>
      <c r="H220" s="1" t="s">
        <v>142</v>
      </c>
      <c r="I220" s="1" t="s">
        <v>74</v>
      </c>
      <c r="J220" s="1" t="s">
        <v>1194</v>
      </c>
      <c r="K220" s="1">
        <v>13</v>
      </c>
      <c r="L220" s="1">
        <v>1622659</v>
      </c>
      <c r="M220" s="1">
        <v>0.49</v>
      </c>
      <c r="N220" s="1">
        <v>1</v>
      </c>
      <c r="O220" s="1" t="s">
        <v>41</v>
      </c>
      <c r="P220" s="1" t="s">
        <v>1195</v>
      </c>
      <c r="Q220" s="1" t="s">
        <v>1196</v>
      </c>
      <c r="R220" s="1">
        <v>26</v>
      </c>
      <c r="S220" s="1">
        <v>32</v>
      </c>
      <c r="T220" s="1" t="s">
        <v>1049</v>
      </c>
    </row>
    <row r="221" spans="1:20" x14ac:dyDescent="0.3">
      <c r="A221" s="1" t="s">
        <v>1197</v>
      </c>
      <c r="B221" s="1" t="s">
        <v>1198</v>
      </c>
      <c r="C221" s="1" t="s">
        <v>132</v>
      </c>
      <c r="D221" s="1" t="s">
        <v>23</v>
      </c>
      <c r="E221" s="1" t="s">
        <v>102</v>
      </c>
      <c r="F221" s="1" t="s">
        <v>93</v>
      </c>
      <c r="G221" s="1">
        <v>36</v>
      </c>
      <c r="H221" s="1" t="s">
        <v>26</v>
      </c>
      <c r="I221" s="1" t="s">
        <v>39</v>
      </c>
      <c r="J221" s="1" t="s">
        <v>1199</v>
      </c>
      <c r="K221" s="1">
        <v>9</v>
      </c>
      <c r="L221" s="1">
        <v>918141</v>
      </c>
      <c r="M221" s="1">
        <v>15.39</v>
      </c>
      <c r="N221" s="1">
        <v>2</v>
      </c>
      <c r="O221" s="1" t="s">
        <v>41</v>
      </c>
      <c r="P221" s="1" t="s">
        <v>1200</v>
      </c>
      <c r="Q221" s="1" t="s">
        <v>1201</v>
      </c>
      <c r="R221" s="1">
        <v>10</v>
      </c>
      <c r="S221" s="1">
        <v>77</v>
      </c>
      <c r="T221" s="1" t="s">
        <v>904</v>
      </c>
    </row>
    <row r="222" spans="1:20" x14ac:dyDescent="0.3">
      <c r="A222" s="1" t="s">
        <v>865</v>
      </c>
      <c r="B222" s="1" t="s">
        <v>1202</v>
      </c>
      <c r="C222" s="1" t="s">
        <v>100</v>
      </c>
      <c r="D222" s="1" t="s">
        <v>101</v>
      </c>
      <c r="E222" s="1" t="s">
        <v>36</v>
      </c>
      <c r="F222" s="1" t="s">
        <v>25</v>
      </c>
      <c r="G222" s="1">
        <v>34</v>
      </c>
      <c r="H222" s="1" t="s">
        <v>103</v>
      </c>
      <c r="I222" s="1" t="s">
        <v>27</v>
      </c>
      <c r="J222" s="1" t="s">
        <v>1203</v>
      </c>
      <c r="K222" s="1">
        <v>7.1</v>
      </c>
      <c r="L222" s="1">
        <v>1470237</v>
      </c>
      <c r="M222" s="1">
        <v>3.05</v>
      </c>
      <c r="N222" s="1">
        <v>4</v>
      </c>
      <c r="O222" s="1" t="s">
        <v>41</v>
      </c>
      <c r="P222" s="1" t="s">
        <v>1204</v>
      </c>
      <c r="Q222" s="1" t="s">
        <v>1205</v>
      </c>
      <c r="R222" s="1">
        <v>48</v>
      </c>
      <c r="S222" s="1">
        <v>50</v>
      </c>
      <c r="T222" s="1" t="s">
        <v>568</v>
      </c>
    </row>
    <row r="223" spans="1:20" x14ac:dyDescent="0.3">
      <c r="A223" s="1" t="s">
        <v>1206</v>
      </c>
      <c r="B223" s="1" t="s">
        <v>1207</v>
      </c>
      <c r="C223" s="1" t="s">
        <v>69</v>
      </c>
      <c r="D223" s="1" t="s">
        <v>59</v>
      </c>
      <c r="E223" s="1" t="s">
        <v>175</v>
      </c>
      <c r="F223" s="1" t="s">
        <v>61</v>
      </c>
      <c r="G223" s="1">
        <v>51</v>
      </c>
      <c r="H223" s="1" t="s">
        <v>218</v>
      </c>
      <c r="I223" s="1" t="s">
        <v>118</v>
      </c>
      <c r="J223" s="1" t="s">
        <v>1208</v>
      </c>
      <c r="K223" s="1">
        <v>19.899999999999999</v>
      </c>
      <c r="L223" s="1">
        <v>1861467</v>
      </c>
      <c r="M223" s="1">
        <v>8.9499999999999993</v>
      </c>
      <c r="N223" s="1">
        <v>1</v>
      </c>
      <c r="O223" s="1" t="s">
        <v>258</v>
      </c>
      <c r="P223" s="1" t="s">
        <v>1209</v>
      </c>
      <c r="Q223" s="1" t="s">
        <v>1210</v>
      </c>
      <c r="R223" s="1">
        <v>69</v>
      </c>
      <c r="S223" s="1">
        <v>2</v>
      </c>
      <c r="T223" s="1" t="s">
        <v>294</v>
      </c>
    </row>
    <row r="224" spans="1:20" x14ac:dyDescent="0.3">
      <c r="A224" s="1" t="s">
        <v>1211</v>
      </c>
      <c r="B224" s="1" t="s">
        <v>1212</v>
      </c>
      <c r="C224" s="1" t="s">
        <v>22</v>
      </c>
      <c r="D224" s="1" t="s">
        <v>47</v>
      </c>
      <c r="E224" s="1" t="s">
        <v>36</v>
      </c>
      <c r="F224" s="1" t="s">
        <v>61</v>
      </c>
      <c r="G224" s="1">
        <v>47</v>
      </c>
      <c r="H224" s="1" t="s">
        <v>50</v>
      </c>
      <c r="I224" s="1" t="s">
        <v>39</v>
      </c>
      <c r="J224" s="1" t="s">
        <v>1213</v>
      </c>
      <c r="K224" s="1"/>
      <c r="L224" s="1">
        <v>1495009</v>
      </c>
      <c r="M224" s="1">
        <v>5.53</v>
      </c>
      <c r="N224" s="1">
        <v>4</v>
      </c>
      <c r="O224" s="1" t="s">
        <v>41</v>
      </c>
      <c r="P224" s="1" t="s">
        <v>1214</v>
      </c>
      <c r="Q224" s="1" t="s">
        <v>1215</v>
      </c>
      <c r="R224" s="1">
        <v>77</v>
      </c>
      <c r="S224" s="1">
        <v>75</v>
      </c>
      <c r="T224" s="1" t="s">
        <v>1216</v>
      </c>
    </row>
    <row r="225" spans="1:20" x14ac:dyDescent="0.3">
      <c r="A225" s="1" t="s">
        <v>1217</v>
      </c>
      <c r="B225" s="1" t="s">
        <v>1218</v>
      </c>
      <c r="C225" s="1" t="s">
        <v>22</v>
      </c>
      <c r="D225" s="1" t="s">
        <v>141</v>
      </c>
      <c r="E225" s="1" t="s">
        <v>71</v>
      </c>
      <c r="F225" s="1" t="s">
        <v>25</v>
      </c>
      <c r="G225" s="1">
        <v>33</v>
      </c>
      <c r="H225" s="1" t="s">
        <v>84</v>
      </c>
      <c r="I225" s="1" t="s">
        <v>74</v>
      </c>
      <c r="J225" s="1" t="s">
        <v>1219</v>
      </c>
      <c r="K225" s="1">
        <v>9.3000000000000007</v>
      </c>
      <c r="L225" s="1" t="s">
        <v>591</v>
      </c>
      <c r="M225" s="1">
        <v>10.78</v>
      </c>
      <c r="N225" s="1">
        <v>4</v>
      </c>
      <c r="O225" s="1" t="s">
        <v>64</v>
      </c>
      <c r="P225" s="1" t="s">
        <v>1220</v>
      </c>
      <c r="Q225" s="1" t="s">
        <v>1221</v>
      </c>
      <c r="R225" s="1">
        <v>58</v>
      </c>
      <c r="S225" s="1">
        <v>31</v>
      </c>
      <c r="T225" s="1" t="s">
        <v>494</v>
      </c>
    </row>
    <row r="226" spans="1:20" x14ac:dyDescent="0.3">
      <c r="A226" s="1" t="s">
        <v>1222</v>
      </c>
      <c r="B226" s="1" t="s">
        <v>1223</v>
      </c>
      <c r="C226" s="1" t="s">
        <v>197</v>
      </c>
      <c r="D226" s="1" t="s">
        <v>182</v>
      </c>
      <c r="E226" s="1" t="s">
        <v>24</v>
      </c>
      <c r="F226" s="1" t="s">
        <v>61</v>
      </c>
      <c r="G226" s="1">
        <v>51</v>
      </c>
      <c r="H226" s="1" t="s">
        <v>142</v>
      </c>
      <c r="I226" s="1" t="s">
        <v>51</v>
      </c>
      <c r="J226" s="1" t="s">
        <v>1224</v>
      </c>
      <c r="K226" s="1"/>
      <c r="L226" s="1">
        <v>353413</v>
      </c>
      <c r="M226" s="1">
        <v>14.18</v>
      </c>
      <c r="N226" s="1">
        <v>1</v>
      </c>
      <c r="O226" s="1" t="s">
        <v>258</v>
      </c>
      <c r="P226" s="1" t="s">
        <v>1225</v>
      </c>
      <c r="Q226" s="1"/>
      <c r="R226" s="1">
        <v>29</v>
      </c>
      <c r="S226" s="1">
        <v>21</v>
      </c>
      <c r="T226" s="1" t="s">
        <v>468</v>
      </c>
    </row>
    <row r="227" spans="1:20" x14ac:dyDescent="0.3">
      <c r="A227" s="1" t="s">
        <v>201</v>
      </c>
      <c r="B227" s="1" t="s">
        <v>1226</v>
      </c>
      <c r="C227" s="1" t="s">
        <v>58</v>
      </c>
      <c r="D227" s="1" t="s">
        <v>70</v>
      </c>
      <c r="E227" s="1" t="s">
        <v>24</v>
      </c>
      <c r="F227" s="1" t="s">
        <v>93</v>
      </c>
      <c r="G227" s="1">
        <v>32</v>
      </c>
      <c r="H227" s="1" t="s">
        <v>103</v>
      </c>
      <c r="I227" s="1" t="s">
        <v>198</v>
      </c>
      <c r="J227" s="1" t="s">
        <v>1227</v>
      </c>
      <c r="K227" s="1">
        <v>3.2</v>
      </c>
      <c r="L227" s="1">
        <v>357354</v>
      </c>
      <c r="M227" s="1">
        <v>24.51</v>
      </c>
      <c r="N227" s="1">
        <v>3</v>
      </c>
      <c r="O227" s="1" t="s">
        <v>41</v>
      </c>
      <c r="P227" s="1" t="s">
        <v>1228</v>
      </c>
      <c r="Q227" s="1" t="s">
        <v>1229</v>
      </c>
      <c r="R227" s="1">
        <v>70</v>
      </c>
      <c r="S227" s="1">
        <v>24</v>
      </c>
      <c r="T227" s="1" t="s">
        <v>712</v>
      </c>
    </row>
    <row r="228" spans="1:20" x14ac:dyDescent="0.3">
      <c r="A228" s="1" t="s">
        <v>1230</v>
      </c>
      <c r="B228" s="1" t="s">
        <v>1231</v>
      </c>
      <c r="C228" s="1" t="s">
        <v>124</v>
      </c>
      <c r="D228" s="1" t="s">
        <v>23</v>
      </c>
      <c r="E228" s="1" t="s">
        <v>102</v>
      </c>
      <c r="F228" s="1" t="s">
        <v>72</v>
      </c>
      <c r="G228" s="1">
        <v>29</v>
      </c>
      <c r="H228" s="1" t="s">
        <v>50</v>
      </c>
      <c r="I228" s="1" t="s">
        <v>198</v>
      </c>
      <c r="J228" s="1" t="s">
        <v>1232</v>
      </c>
      <c r="K228" s="1">
        <v>3.4</v>
      </c>
      <c r="L228" s="1">
        <v>915079</v>
      </c>
      <c r="M228" s="1">
        <v>14.62</v>
      </c>
      <c r="N228" s="1">
        <v>3</v>
      </c>
      <c r="O228" s="1" t="s">
        <v>135</v>
      </c>
      <c r="P228" s="1" t="s">
        <v>1233</v>
      </c>
      <c r="Q228" s="1" t="s">
        <v>1234</v>
      </c>
      <c r="R228" s="1">
        <v>2</v>
      </c>
      <c r="S228" s="1">
        <v>85</v>
      </c>
      <c r="T228" s="1" t="s">
        <v>354</v>
      </c>
    </row>
    <row r="229" spans="1:20" x14ac:dyDescent="0.3">
      <c r="A229" s="1" t="s">
        <v>425</v>
      </c>
      <c r="B229" s="1" t="s">
        <v>1235</v>
      </c>
      <c r="C229" s="1" t="s">
        <v>216</v>
      </c>
      <c r="D229" s="1" t="s">
        <v>70</v>
      </c>
      <c r="E229" s="1" t="s">
        <v>71</v>
      </c>
      <c r="F229" s="1" t="s">
        <v>133</v>
      </c>
      <c r="G229" s="1">
        <v>26</v>
      </c>
      <c r="H229" s="1" t="s">
        <v>50</v>
      </c>
      <c r="I229" s="1" t="s">
        <v>27</v>
      </c>
      <c r="J229" s="1" t="s">
        <v>1236</v>
      </c>
      <c r="K229" s="1">
        <v>9.9</v>
      </c>
      <c r="L229" s="1">
        <v>1283537</v>
      </c>
      <c r="M229" s="1">
        <v>1.56</v>
      </c>
      <c r="N229" s="1">
        <v>3</v>
      </c>
      <c r="O229" s="1" t="s">
        <v>41</v>
      </c>
      <c r="P229" s="1" t="s">
        <v>1237</v>
      </c>
      <c r="Q229" s="1" t="s">
        <v>1238</v>
      </c>
      <c r="R229" s="1">
        <v>49</v>
      </c>
      <c r="S229" s="1">
        <v>74</v>
      </c>
      <c r="T229" s="1"/>
    </row>
    <row r="230" spans="1:20" x14ac:dyDescent="0.3">
      <c r="A230" s="1" t="s">
        <v>129</v>
      </c>
      <c r="B230" s="1" t="s">
        <v>1239</v>
      </c>
      <c r="C230" s="1" t="s">
        <v>22</v>
      </c>
      <c r="D230" s="1" t="s">
        <v>83</v>
      </c>
      <c r="E230" s="1" t="s">
        <v>175</v>
      </c>
      <c r="F230" s="1" t="s">
        <v>133</v>
      </c>
      <c r="G230" s="1">
        <v>45</v>
      </c>
      <c r="H230" s="1" t="s">
        <v>50</v>
      </c>
      <c r="I230" s="1" t="s">
        <v>85</v>
      </c>
      <c r="J230" s="1" t="s">
        <v>1240</v>
      </c>
      <c r="K230" s="1">
        <v>7.8</v>
      </c>
      <c r="L230" s="1">
        <v>2470870</v>
      </c>
      <c r="M230" s="1">
        <v>1.77</v>
      </c>
      <c r="N230" s="1" t="s">
        <v>577</v>
      </c>
      <c r="O230" s="1" t="s">
        <v>76</v>
      </c>
      <c r="P230" s="1" t="s">
        <v>1241</v>
      </c>
      <c r="Q230" s="1" t="s">
        <v>1242</v>
      </c>
      <c r="R230" s="1">
        <v>62</v>
      </c>
      <c r="S230" s="1">
        <v>16</v>
      </c>
      <c r="T230" s="1" t="s">
        <v>528</v>
      </c>
    </row>
    <row r="231" spans="1:20" x14ac:dyDescent="0.3">
      <c r="A231" s="1" t="s">
        <v>1243</v>
      </c>
      <c r="B231" s="1" t="s">
        <v>300</v>
      </c>
      <c r="C231" s="1" t="s">
        <v>46</v>
      </c>
      <c r="D231" s="1" t="s">
        <v>59</v>
      </c>
      <c r="E231" s="1" t="s">
        <v>24</v>
      </c>
      <c r="F231" s="1" t="s">
        <v>133</v>
      </c>
      <c r="G231" s="1">
        <v>37</v>
      </c>
      <c r="H231" s="1" t="s">
        <v>204</v>
      </c>
      <c r="I231" s="1" t="s">
        <v>198</v>
      </c>
      <c r="J231" s="1" t="s">
        <v>1244</v>
      </c>
      <c r="K231" s="1">
        <v>27.6</v>
      </c>
      <c r="L231" s="1">
        <v>994755</v>
      </c>
      <c r="M231" s="1">
        <v>10.210000000000001</v>
      </c>
      <c r="N231" s="1">
        <v>5</v>
      </c>
      <c r="O231" s="1" t="s">
        <v>29</v>
      </c>
      <c r="P231" s="1" t="s">
        <v>1245</v>
      </c>
      <c r="Q231" s="1" t="s">
        <v>1246</v>
      </c>
      <c r="R231" s="1">
        <v>19</v>
      </c>
      <c r="S231" s="1">
        <v>49</v>
      </c>
      <c r="T231" s="1" t="s">
        <v>832</v>
      </c>
    </row>
    <row r="232" spans="1:20" x14ac:dyDescent="0.3">
      <c r="A232" s="1" t="s">
        <v>1247</v>
      </c>
      <c r="B232" s="1" t="s">
        <v>1248</v>
      </c>
      <c r="C232" s="1" t="s">
        <v>124</v>
      </c>
      <c r="D232" s="1" t="s">
        <v>182</v>
      </c>
      <c r="E232" s="1" t="s">
        <v>92</v>
      </c>
      <c r="F232" s="1" t="s">
        <v>49</v>
      </c>
      <c r="G232" s="1">
        <v>28</v>
      </c>
      <c r="H232" s="1" t="s">
        <v>50</v>
      </c>
      <c r="I232" s="1" t="s">
        <v>74</v>
      </c>
      <c r="J232" s="1" t="s">
        <v>1249</v>
      </c>
      <c r="K232" s="1">
        <v>20.399999999999999</v>
      </c>
      <c r="L232" s="1">
        <v>1940617</v>
      </c>
      <c r="M232" s="1">
        <v>0.3</v>
      </c>
      <c r="N232" s="1">
        <v>3</v>
      </c>
      <c r="O232" s="1" t="s">
        <v>41</v>
      </c>
      <c r="P232" s="1" t="s">
        <v>1250</v>
      </c>
      <c r="Q232" s="1"/>
      <c r="R232" s="1">
        <v>13</v>
      </c>
      <c r="S232" s="1">
        <v>44</v>
      </c>
      <c r="T232" s="1" t="s">
        <v>893</v>
      </c>
    </row>
    <row r="233" spans="1:20" x14ac:dyDescent="0.3">
      <c r="A233" s="1" t="s">
        <v>97</v>
      </c>
      <c r="B233" s="1" t="s">
        <v>1251</v>
      </c>
      <c r="C233" s="1" t="s">
        <v>82</v>
      </c>
      <c r="D233" s="1" t="s">
        <v>47</v>
      </c>
      <c r="E233" s="1" t="s">
        <v>168</v>
      </c>
      <c r="F233" s="1" t="s">
        <v>61</v>
      </c>
      <c r="G233" s="1">
        <v>49</v>
      </c>
      <c r="H233" s="1" t="s">
        <v>38</v>
      </c>
      <c r="I233" s="1" t="s">
        <v>118</v>
      </c>
      <c r="J233" s="1" t="s">
        <v>1252</v>
      </c>
      <c r="K233" s="1">
        <v>2.8</v>
      </c>
      <c r="L233" s="1">
        <v>1557252</v>
      </c>
      <c r="M233" s="1">
        <v>15.5</v>
      </c>
      <c r="N233" s="1">
        <v>5</v>
      </c>
      <c r="O233" s="1" t="s">
        <v>41</v>
      </c>
      <c r="P233" s="1" t="s">
        <v>1253</v>
      </c>
      <c r="Q233" s="1" t="s">
        <v>1254</v>
      </c>
      <c r="R233" s="1">
        <v>42</v>
      </c>
      <c r="S233" s="1">
        <v>55</v>
      </c>
      <c r="T233" s="1" t="s">
        <v>938</v>
      </c>
    </row>
    <row r="234" spans="1:20" x14ac:dyDescent="0.3">
      <c r="A234" s="1" t="s">
        <v>1255</v>
      </c>
      <c r="B234" s="1" t="s">
        <v>1256</v>
      </c>
      <c r="C234" s="1" t="s">
        <v>110</v>
      </c>
      <c r="D234" s="1" t="s">
        <v>256</v>
      </c>
      <c r="E234" s="1" t="s">
        <v>60</v>
      </c>
      <c r="F234" s="1" t="s">
        <v>133</v>
      </c>
      <c r="G234" s="1">
        <v>52</v>
      </c>
      <c r="H234" s="1" t="s">
        <v>62</v>
      </c>
      <c r="I234" s="1" t="s">
        <v>125</v>
      </c>
      <c r="J234" s="1" t="s">
        <v>1257</v>
      </c>
      <c r="K234" s="1">
        <v>22.9</v>
      </c>
      <c r="L234" s="1">
        <v>1179939</v>
      </c>
      <c r="M234" s="1">
        <v>3.07</v>
      </c>
      <c r="N234" s="1">
        <v>5</v>
      </c>
      <c r="O234" s="1" t="s">
        <v>41</v>
      </c>
      <c r="P234" s="1" t="s">
        <v>1258</v>
      </c>
      <c r="Q234" s="1" t="s">
        <v>1259</v>
      </c>
      <c r="R234" s="1">
        <v>68</v>
      </c>
      <c r="S234" s="1">
        <v>57</v>
      </c>
      <c r="T234" s="1" t="s">
        <v>97</v>
      </c>
    </row>
    <row r="235" spans="1:20" x14ac:dyDescent="0.3">
      <c r="A235" s="1" t="s">
        <v>1260</v>
      </c>
      <c r="B235" s="1" t="s">
        <v>1261</v>
      </c>
      <c r="C235" s="1" t="s">
        <v>35</v>
      </c>
      <c r="D235" s="1" t="s">
        <v>59</v>
      </c>
      <c r="E235" s="1" t="s">
        <v>189</v>
      </c>
      <c r="F235" s="1" t="s">
        <v>61</v>
      </c>
      <c r="G235" s="1">
        <v>58</v>
      </c>
      <c r="H235" s="1" t="s">
        <v>50</v>
      </c>
      <c r="I235" s="1" t="s">
        <v>125</v>
      </c>
      <c r="J235" s="1" t="s">
        <v>1262</v>
      </c>
      <c r="K235" s="1">
        <v>13.8</v>
      </c>
      <c r="L235" s="1">
        <v>1384848</v>
      </c>
      <c r="M235" s="1">
        <v>8.94</v>
      </c>
      <c r="N235" s="1" t="s">
        <v>577</v>
      </c>
      <c r="O235" s="1" t="s">
        <v>135</v>
      </c>
      <c r="P235" s="1" t="s">
        <v>1263</v>
      </c>
      <c r="Q235" s="1"/>
      <c r="R235" s="1">
        <v>37</v>
      </c>
      <c r="S235" s="1">
        <v>38</v>
      </c>
      <c r="T235" s="1" t="s">
        <v>309</v>
      </c>
    </row>
    <row r="236" spans="1:20" x14ac:dyDescent="0.3">
      <c r="A236" s="1" t="s">
        <v>1264</v>
      </c>
      <c r="B236" s="1" t="s">
        <v>1265</v>
      </c>
      <c r="C236" s="1" t="s">
        <v>82</v>
      </c>
      <c r="D236" s="1" t="s">
        <v>101</v>
      </c>
      <c r="E236" s="1" t="s">
        <v>189</v>
      </c>
      <c r="F236" s="1" t="s">
        <v>25</v>
      </c>
      <c r="G236" s="1">
        <v>57</v>
      </c>
      <c r="H236" s="1" t="s">
        <v>204</v>
      </c>
      <c r="I236" s="1" t="s">
        <v>39</v>
      </c>
      <c r="J236" s="1" t="s">
        <v>1266</v>
      </c>
      <c r="K236" s="1">
        <v>27</v>
      </c>
      <c r="L236" s="1">
        <v>1246162</v>
      </c>
      <c r="M236" s="1">
        <v>7.81</v>
      </c>
      <c r="N236" s="1">
        <v>5</v>
      </c>
      <c r="O236" s="1" t="s">
        <v>41</v>
      </c>
      <c r="P236" s="1" t="s">
        <v>1267</v>
      </c>
      <c r="Q236" s="1" t="s">
        <v>1268</v>
      </c>
      <c r="R236" s="1">
        <v>57</v>
      </c>
      <c r="S236" s="1">
        <v>26</v>
      </c>
      <c r="T236" s="1" t="s">
        <v>938</v>
      </c>
    </row>
    <row r="237" spans="1:20" x14ac:dyDescent="0.3">
      <c r="A237" s="1" t="s">
        <v>1269</v>
      </c>
      <c r="B237" s="1" t="s">
        <v>1270</v>
      </c>
      <c r="C237" s="1" t="s">
        <v>82</v>
      </c>
      <c r="D237" s="1" t="s">
        <v>23</v>
      </c>
      <c r="E237" s="1" t="s">
        <v>92</v>
      </c>
      <c r="F237" s="1" t="s">
        <v>49</v>
      </c>
      <c r="G237" s="1">
        <v>42</v>
      </c>
      <c r="H237" s="1" t="s">
        <v>142</v>
      </c>
      <c r="I237" s="1" t="s">
        <v>39</v>
      </c>
      <c r="J237" s="1" t="s">
        <v>1271</v>
      </c>
      <c r="K237" s="1">
        <v>8.4</v>
      </c>
      <c r="L237" s="1">
        <v>2005128</v>
      </c>
      <c r="M237" s="1">
        <v>2.04</v>
      </c>
      <c r="N237" s="1">
        <v>4</v>
      </c>
      <c r="O237" s="1" t="s">
        <v>258</v>
      </c>
      <c r="P237" s="1" t="s">
        <v>1272</v>
      </c>
      <c r="Q237" s="1" t="s">
        <v>1273</v>
      </c>
      <c r="R237" s="1">
        <v>9</v>
      </c>
      <c r="S237" s="1">
        <v>96</v>
      </c>
      <c r="T237" s="1" t="s">
        <v>1274</v>
      </c>
    </row>
    <row r="238" spans="1:20" x14ac:dyDescent="0.3">
      <c r="A238" s="1" t="s">
        <v>1275</v>
      </c>
      <c r="B238" s="1" t="s">
        <v>1276</v>
      </c>
      <c r="C238" s="1" t="s">
        <v>197</v>
      </c>
      <c r="D238" s="1" t="s">
        <v>244</v>
      </c>
      <c r="E238" s="1" t="s">
        <v>48</v>
      </c>
      <c r="F238" s="1" t="s">
        <v>190</v>
      </c>
      <c r="G238" s="1">
        <v>46</v>
      </c>
      <c r="H238" s="1" t="s">
        <v>50</v>
      </c>
      <c r="I238" s="1" t="s">
        <v>51</v>
      </c>
      <c r="J238" s="1" t="s">
        <v>1277</v>
      </c>
      <c r="K238" s="1">
        <v>1.7</v>
      </c>
      <c r="L238" s="1">
        <v>1048330</v>
      </c>
      <c r="M238" s="1">
        <v>7.2</v>
      </c>
      <c r="N238" s="1">
        <v>5</v>
      </c>
      <c r="O238" s="1" t="s">
        <v>135</v>
      </c>
      <c r="P238" s="1" t="s">
        <v>1278</v>
      </c>
      <c r="Q238" s="1" t="s">
        <v>1279</v>
      </c>
      <c r="R238" s="1">
        <v>28</v>
      </c>
      <c r="S238" s="1">
        <v>36</v>
      </c>
      <c r="T238" s="1" t="s">
        <v>1280</v>
      </c>
    </row>
    <row r="239" spans="1:20" x14ac:dyDescent="0.3">
      <c r="A239" s="1" t="s">
        <v>1281</v>
      </c>
      <c r="B239" s="1" t="s">
        <v>1282</v>
      </c>
      <c r="C239" s="1" t="s">
        <v>100</v>
      </c>
      <c r="D239" s="1" t="s">
        <v>182</v>
      </c>
      <c r="E239" s="1" t="s">
        <v>155</v>
      </c>
      <c r="F239" s="1" t="s">
        <v>190</v>
      </c>
      <c r="G239" s="1">
        <v>38</v>
      </c>
      <c r="H239" s="1" t="s">
        <v>204</v>
      </c>
      <c r="I239" s="1" t="s">
        <v>125</v>
      </c>
      <c r="J239" s="1" t="s">
        <v>1283</v>
      </c>
      <c r="K239" s="1">
        <v>13.4</v>
      </c>
      <c r="L239" s="1">
        <v>1603320</v>
      </c>
      <c r="M239" s="1">
        <v>14.17</v>
      </c>
      <c r="N239" s="1">
        <v>4</v>
      </c>
      <c r="O239" s="1" t="s">
        <v>29</v>
      </c>
      <c r="P239" s="1" t="s">
        <v>1284</v>
      </c>
      <c r="Q239" s="1" t="s">
        <v>1285</v>
      </c>
      <c r="R239" s="1">
        <v>69</v>
      </c>
      <c r="S239" s="1">
        <v>100</v>
      </c>
      <c r="T239" s="1" t="s">
        <v>115</v>
      </c>
    </row>
    <row r="240" spans="1:20" x14ac:dyDescent="0.3">
      <c r="A240" s="1" t="s">
        <v>1286</v>
      </c>
      <c r="B240" s="1" t="s">
        <v>1287</v>
      </c>
      <c r="C240" s="1" t="s">
        <v>255</v>
      </c>
      <c r="D240" s="1" t="s">
        <v>59</v>
      </c>
      <c r="E240" s="1" t="s">
        <v>290</v>
      </c>
      <c r="F240" s="1" t="s">
        <v>61</v>
      </c>
      <c r="G240" s="1">
        <v>56</v>
      </c>
      <c r="H240" s="1" t="s">
        <v>84</v>
      </c>
      <c r="I240" s="1" t="s">
        <v>39</v>
      </c>
      <c r="J240" s="1" t="s">
        <v>1288</v>
      </c>
      <c r="K240" s="1">
        <v>11.4</v>
      </c>
      <c r="L240" s="1" t="s">
        <v>220</v>
      </c>
      <c r="M240" s="1">
        <v>10.81</v>
      </c>
      <c r="N240" s="1">
        <v>3</v>
      </c>
      <c r="O240" s="1" t="s">
        <v>41</v>
      </c>
      <c r="P240" s="1" t="s">
        <v>1289</v>
      </c>
      <c r="Q240" s="1" t="s">
        <v>1290</v>
      </c>
      <c r="R240" s="1">
        <v>17</v>
      </c>
      <c r="S240" s="1">
        <v>93</v>
      </c>
      <c r="T240" s="1" t="s">
        <v>933</v>
      </c>
    </row>
    <row r="241" spans="1:20" x14ac:dyDescent="0.3">
      <c r="A241" s="1" t="s">
        <v>1291</v>
      </c>
      <c r="B241" s="1" t="s">
        <v>1292</v>
      </c>
      <c r="C241" s="1" t="s">
        <v>100</v>
      </c>
      <c r="D241" s="1" t="s">
        <v>111</v>
      </c>
      <c r="E241" s="1" t="s">
        <v>60</v>
      </c>
      <c r="F241" s="1" t="s">
        <v>72</v>
      </c>
      <c r="G241" s="1">
        <v>51</v>
      </c>
      <c r="H241" s="1" t="s">
        <v>73</v>
      </c>
      <c r="I241" s="1" t="s">
        <v>85</v>
      </c>
      <c r="J241" s="1" t="s">
        <v>1293</v>
      </c>
      <c r="K241" s="1"/>
      <c r="L241" s="1">
        <v>2020749</v>
      </c>
      <c r="M241" s="1">
        <v>22.5</v>
      </c>
      <c r="N241" s="1">
        <v>5</v>
      </c>
      <c r="O241" s="1" t="s">
        <v>41</v>
      </c>
      <c r="P241" s="1" t="s">
        <v>1294</v>
      </c>
      <c r="Q241" s="1" t="s">
        <v>1295</v>
      </c>
      <c r="R241" s="1">
        <v>6</v>
      </c>
      <c r="S241" s="1">
        <v>50</v>
      </c>
      <c r="T241" s="1" t="s">
        <v>425</v>
      </c>
    </row>
    <row r="242" spans="1:20" x14ac:dyDescent="0.3">
      <c r="A242" s="1" t="s">
        <v>1296</v>
      </c>
      <c r="B242" s="1" t="s">
        <v>518</v>
      </c>
      <c r="C242" s="1" t="s">
        <v>100</v>
      </c>
      <c r="D242" s="1" t="s">
        <v>244</v>
      </c>
      <c r="E242" s="1" t="s">
        <v>168</v>
      </c>
      <c r="F242" s="1" t="s">
        <v>61</v>
      </c>
      <c r="G242" s="1">
        <v>30</v>
      </c>
      <c r="H242" s="1" t="s">
        <v>62</v>
      </c>
      <c r="I242" s="1" t="s">
        <v>198</v>
      </c>
      <c r="J242" s="1" t="s">
        <v>1297</v>
      </c>
      <c r="K242" s="1">
        <v>4.8</v>
      </c>
      <c r="L242" s="1">
        <v>1537229</v>
      </c>
      <c r="M242" s="1">
        <v>9.85</v>
      </c>
      <c r="N242" s="1">
        <v>1</v>
      </c>
      <c r="O242" s="1" t="s">
        <v>64</v>
      </c>
      <c r="P242" s="1" t="s">
        <v>1298</v>
      </c>
      <c r="Q242" s="1" t="s">
        <v>1299</v>
      </c>
      <c r="R242" s="1">
        <v>10</v>
      </c>
      <c r="S242" s="1">
        <v>95</v>
      </c>
      <c r="T242" s="1" t="s">
        <v>397</v>
      </c>
    </row>
    <row r="243" spans="1:20" x14ac:dyDescent="0.3">
      <c r="A243" s="1" t="s">
        <v>1300</v>
      </c>
      <c r="B243" s="1" t="s">
        <v>512</v>
      </c>
      <c r="C243" s="1" t="s">
        <v>82</v>
      </c>
      <c r="D243" s="1" t="s">
        <v>59</v>
      </c>
      <c r="E243" s="1" t="s">
        <v>92</v>
      </c>
      <c r="F243" s="1" t="s">
        <v>93</v>
      </c>
      <c r="G243" s="1">
        <v>35</v>
      </c>
      <c r="H243" s="1" t="s">
        <v>218</v>
      </c>
      <c r="I243" s="1" t="s">
        <v>39</v>
      </c>
      <c r="J243" s="1" t="s">
        <v>651</v>
      </c>
      <c r="K243" s="1">
        <v>9.5</v>
      </c>
      <c r="L243" s="1">
        <v>817727</v>
      </c>
      <c r="M243" s="1">
        <v>2.15</v>
      </c>
      <c r="N243" s="1">
        <v>3</v>
      </c>
      <c r="O243" s="1" t="s">
        <v>64</v>
      </c>
      <c r="P243" s="1" t="s">
        <v>1301</v>
      </c>
      <c r="Q243" s="1" t="s">
        <v>1302</v>
      </c>
      <c r="R243" s="1">
        <v>25</v>
      </c>
      <c r="S243" s="1">
        <v>117</v>
      </c>
      <c r="T243" s="1" t="s">
        <v>179</v>
      </c>
    </row>
    <row r="244" spans="1:20" x14ac:dyDescent="0.3">
      <c r="A244" s="1" t="s">
        <v>1303</v>
      </c>
      <c r="B244" s="1" t="s">
        <v>1304</v>
      </c>
      <c r="C244" s="1" t="s">
        <v>100</v>
      </c>
      <c r="D244" s="1" t="s">
        <v>244</v>
      </c>
      <c r="E244" s="1" t="s">
        <v>290</v>
      </c>
      <c r="F244" s="1" t="s">
        <v>61</v>
      </c>
      <c r="G244" s="1">
        <v>22</v>
      </c>
      <c r="H244" s="1" t="s">
        <v>204</v>
      </c>
      <c r="I244" s="1" t="s">
        <v>51</v>
      </c>
      <c r="J244" s="1" t="s">
        <v>1305</v>
      </c>
      <c r="K244" s="1">
        <v>6</v>
      </c>
      <c r="L244" s="1">
        <v>2329392</v>
      </c>
      <c r="M244" s="1">
        <v>12.86</v>
      </c>
      <c r="N244" s="1">
        <v>4</v>
      </c>
      <c r="O244" s="1" t="s">
        <v>64</v>
      </c>
      <c r="P244" s="1" t="s">
        <v>1306</v>
      </c>
      <c r="Q244" s="1" t="s">
        <v>1307</v>
      </c>
      <c r="R244" s="1">
        <v>23</v>
      </c>
      <c r="S244" s="1">
        <v>103</v>
      </c>
      <c r="T244" s="1" t="s">
        <v>865</v>
      </c>
    </row>
    <row r="245" spans="1:20" x14ac:dyDescent="0.3">
      <c r="A245" s="1" t="s">
        <v>1308</v>
      </c>
      <c r="B245" s="1" t="s">
        <v>1309</v>
      </c>
      <c r="C245" s="1" t="s">
        <v>110</v>
      </c>
      <c r="D245" s="1" t="s">
        <v>327</v>
      </c>
      <c r="E245" s="1" t="s">
        <v>36</v>
      </c>
      <c r="F245" s="1" t="s">
        <v>25</v>
      </c>
      <c r="G245" s="1">
        <v>56</v>
      </c>
      <c r="H245" s="1" t="s">
        <v>26</v>
      </c>
      <c r="I245" s="1" t="s">
        <v>39</v>
      </c>
      <c r="J245" s="1" t="s">
        <v>1310</v>
      </c>
      <c r="K245" s="1">
        <v>19.399999999999999</v>
      </c>
      <c r="L245" s="1">
        <v>-99999</v>
      </c>
      <c r="M245" s="1">
        <v>22.1</v>
      </c>
      <c r="N245" s="1">
        <v>3</v>
      </c>
      <c r="O245" s="1" t="s">
        <v>64</v>
      </c>
      <c r="P245" s="1" t="s">
        <v>1311</v>
      </c>
      <c r="Q245" s="1" t="s">
        <v>1312</v>
      </c>
      <c r="R245" s="1">
        <v>35</v>
      </c>
      <c r="S245" s="1">
        <v>68</v>
      </c>
      <c r="T245" s="1" t="s">
        <v>457</v>
      </c>
    </row>
    <row r="246" spans="1:20" x14ac:dyDescent="0.3">
      <c r="A246" s="1" t="s">
        <v>893</v>
      </c>
      <c r="B246" s="1" t="s">
        <v>1313</v>
      </c>
      <c r="C246" s="1" t="s">
        <v>132</v>
      </c>
      <c r="D246" s="1" t="s">
        <v>23</v>
      </c>
      <c r="E246" s="1" t="s">
        <v>60</v>
      </c>
      <c r="F246" s="1" t="s">
        <v>25</v>
      </c>
      <c r="G246" s="1">
        <v>41</v>
      </c>
      <c r="H246" s="1" t="s">
        <v>84</v>
      </c>
      <c r="I246" s="1" t="s">
        <v>74</v>
      </c>
      <c r="J246" s="1" t="s">
        <v>1314</v>
      </c>
      <c r="K246" s="1">
        <v>13.7</v>
      </c>
      <c r="L246" s="1">
        <v>2353700</v>
      </c>
      <c r="M246" s="1">
        <v>19.39</v>
      </c>
      <c r="N246" s="1">
        <v>4</v>
      </c>
      <c r="O246" s="1" t="s">
        <v>41</v>
      </c>
      <c r="P246" s="1" t="s">
        <v>1315</v>
      </c>
      <c r="Q246" s="1" t="s">
        <v>1316</v>
      </c>
      <c r="R246" s="1">
        <v>60</v>
      </c>
      <c r="S246" s="1">
        <v>103</v>
      </c>
      <c r="T246" s="1" t="s">
        <v>1317</v>
      </c>
    </row>
    <row r="247" spans="1:20" x14ac:dyDescent="0.3">
      <c r="A247" s="1" t="s">
        <v>1049</v>
      </c>
      <c r="B247" s="1" t="s">
        <v>1318</v>
      </c>
      <c r="C247" s="1" t="s">
        <v>46</v>
      </c>
      <c r="D247" s="1" t="s">
        <v>217</v>
      </c>
      <c r="E247" s="1" t="s">
        <v>155</v>
      </c>
      <c r="F247" s="1" t="s">
        <v>190</v>
      </c>
      <c r="G247" s="1">
        <v>50</v>
      </c>
      <c r="H247" s="1" t="s">
        <v>38</v>
      </c>
      <c r="I247" s="1" t="s">
        <v>27</v>
      </c>
      <c r="J247" s="1" t="s">
        <v>1319</v>
      </c>
      <c r="K247" s="1">
        <v>4.9000000000000004</v>
      </c>
      <c r="L247" s="1">
        <v>638859</v>
      </c>
      <c r="M247" s="1">
        <v>2.48</v>
      </c>
      <c r="N247" s="1">
        <v>3</v>
      </c>
      <c r="O247" s="1" t="s">
        <v>135</v>
      </c>
      <c r="P247" s="1" t="s">
        <v>1320</v>
      </c>
      <c r="Q247" s="1" t="s">
        <v>1321</v>
      </c>
      <c r="R247" s="1">
        <v>70</v>
      </c>
      <c r="S247" s="1">
        <v>27</v>
      </c>
      <c r="T247" s="1" t="s">
        <v>115</v>
      </c>
    </row>
    <row r="248" spans="1:20" x14ac:dyDescent="0.3">
      <c r="A248" s="1" t="s">
        <v>1322</v>
      </c>
      <c r="B248" s="1" t="s">
        <v>1323</v>
      </c>
      <c r="C248" s="1" t="s">
        <v>69</v>
      </c>
      <c r="D248" s="1" t="s">
        <v>217</v>
      </c>
      <c r="E248" s="1" t="s">
        <v>168</v>
      </c>
      <c r="F248" s="1" t="s">
        <v>133</v>
      </c>
      <c r="G248" s="1">
        <v>58</v>
      </c>
      <c r="H248" s="1" t="s">
        <v>26</v>
      </c>
      <c r="I248" s="1" t="s">
        <v>74</v>
      </c>
      <c r="J248" s="1" t="s">
        <v>1324</v>
      </c>
      <c r="K248" s="1">
        <v>0.7</v>
      </c>
      <c r="L248" s="1">
        <v>1943048</v>
      </c>
      <c r="M248" s="1">
        <v>15.29</v>
      </c>
      <c r="N248" s="1">
        <v>5</v>
      </c>
      <c r="O248" s="1" t="s">
        <v>64</v>
      </c>
      <c r="P248" s="1" t="s">
        <v>1325</v>
      </c>
      <c r="Q248" s="1" t="s">
        <v>1326</v>
      </c>
      <c r="R248" s="1">
        <v>62</v>
      </c>
      <c r="S248" s="1">
        <v>7</v>
      </c>
      <c r="T248" s="1"/>
    </row>
    <row r="249" spans="1:20" x14ac:dyDescent="0.3">
      <c r="A249" s="1" t="s">
        <v>1327</v>
      </c>
      <c r="B249" s="1" t="s">
        <v>1328</v>
      </c>
      <c r="C249" s="1" t="s">
        <v>58</v>
      </c>
      <c r="D249" s="1" t="s">
        <v>23</v>
      </c>
      <c r="E249" s="1" t="s">
        <v>168</v>
      </c>
      <c r="F249" s="1" t="s">
        <v>37</v>
      </c>
      <c r="G249" s="1">
        <v>40</v>
      </c>
      <c r="H249" s="1" t="s">
        <v>26</v>
      </c>
      <c r="I249" s="1" t="s">
        <v>85</v>
      </c>
      <c r="J249" s="1" t="s">
        <v>1329</v>
      </c>
      <c r="K249" s="1">
        <v>2.9</v>
      </c>
      <c r="L249" s="1">
        <v>920809</v>
      </c>
      <c r="M249" s="1">
        <v>16.309999999999999</v>
      </c>
      <c r="N249" s="1">
        <v>3</v>
      </c>
      <c r="O249" s="1" t="s">
        <v>41</v>
      </c>
      <c r="P249" s="1" t="s">
        <v>1330</v>
      </c>
      <c r="Q249" s="1" t="s">
        <v>1331</v>
      </c>
      <c r="R249" s="1">
        <v>78</v>
      </c>
      <c r="S249" s="1">
        <v>67</v>
      </c>
      <c r="T249" s="1" t="s">
        <v>847</v>
      </c>
    </row>
    <row r="250" spans="1:20" x14ac:dyDescent="0.3">
      <c r="A250" s="1" t="s">
        <v>1332</v>
      </c>
      <c r="B250" s="1" t="s">
        <v>1333</v>
      </c>
      <c r="C250" s="1" t="s">
        <v>197</v>
      </c>
      <c r="D250" s="1" t="s">
        <v>141</v>
      </c>
      <c r="E250" s="1" t="s">
        <v>290</v>
      </c>
      <c r="F250" s="1" t="s">
        <v>49</v>
      </c>
      <c r="G250" s="1">
        <v>37</v>
      </c>
      <c r="H250" s="1" t="s">
        <v>204</v>
      </c>
      <c r="I250" s="1" t="s">
        <v>39</v>
      </c>
      <c r="J250" s="1" t="s">
        <v>1334</v>
      </c>
      <c r="K250" s="1">
        <v>22.6</v>
      </c>
      <c r="L250" s="1">
        <v>342151</v>
      </c>
      <c r="M250" s="1">
        <v>7.85</v>
      </c>
      <c r="N250" s="1">
        <v>4</v>
      </c>
      <c r="O250" s="1" t="s">
        <v>41</v>
      </c>
      <c r="P250" s="1" t="s">
        <v>1335</v>
      </c>
      <c r="Q250" s="1" t="s">
        <v>1336</v>
      </c>
      <c r="R250" s="1">
        <v>31</v>
      </c>
      <c r="S250" s="1">
        <v>16</v>
      </c>
      <c r="T250" s="1" t="s">
        <v>309</v>
      </c>
    </row>
    <row r="251" spans="1:20" x14ac:dyDescent="0.3">
      <c r="A251" s="1" t="s">
        <v>1337</v>
      </c>
      <c r="B251" s="1" t="s">
        <v>1338</v>
      </c>
      <c r="C251" s="1" t="s">
        <v>58</v>
      </c>
      <c r="D251" s="1" t="s">
        <v>59</v>
      </c>
      <c r="E251" s="1" t="s">
        <v>48</v>
      </c>
      <c r="F251" s="1" t="s">
        <v>72</v>
      </c>
      <c r="G251" s="1">
        <v>24</v>
      </c>
      <c r="H251" s="1" t="s">
        <v>50</v>
      </c>
      <c r="I251" s="1" t="s">
        <v>39</v>
      </c>
      <c r="J251" s="1" t="s">
        <v>1339</v>
      </c>
      <c r="K251" s="1">
        <v>26.7</v>
      </c>
      <c r="L251" s="1">
        <v>1394214</v>
      </c>
      <c r="M251" s="1">
        <v>20.190000000000001</v>
      </c>
      <c r="N251" s="1">
        <v>1</v>
      </c>
      <c r="O251" s="1" t="s">
        <v>41</v>
      </c>
      <c r="P251" s="1" t="s">
        <v>1340</v>
      </c>
      <c r="Q251" s="1" t="s">
        <v>1341</v>
      </c>
      <c r="R251" s="1">
        <v>9</v>
      </c>
      <c r="S251" s="1">
        <v>76</v>
      </c>
      <c r="T251" s="1" t="s">
        <v>397</v>
      </c>
    </row>
    <row r="252" spans="1:20" x14ac:dyDescent="0.3">
      <c r="A252" s="1" t="s">
        <v>1342</v>
      </c>
      <c r="B252" s="1" t="s">
        <v>1343</v>
      </c>
      <c r="C252" s="1" t="s">
        <v>110</v>
      </c>
      <c r="D252" s="1" t="s">
        <v>141</v>
      </c>
      <c r="E252" s="1" t="s">
        <v>290</v>
      </c>
      <c r="F252" s="1" t="s">
        <v>133</v>
      </c>
      <c r="G252" s="1">
        <v>15</v>
      </c>
      <c r="H252" s="1" t="s">
        <v>38</v>
      </c>
      <c r="I252" s="1" t="s">
        <v>39</v>
      </c>
      <c r="J252" s="1" t="s">
        <v>1344</v>
      </c>
      <c r="K252" s="1">
        <v>20.6</v>
      </c>
      <c r="L252" s="1">
        <v>1713969</v>
      </c>
      <c r="M252" s="1">
        <v>15.67</v>
      </c>
      <c r="N252" s="1">
        <v>3</v>
      </c>
      <c r="O252" s="1" t="s">
        <v>76</v>
      </c>
      <c r="P252" s="1" t="s">
        <v>1345</v>
      </c>
      <c r="Q252" s="1" t="s">
        <v>1346</v>
      </c>
      <c r="R252" s="1">
        <v>69</v>
      </c>
      <c r="S252" s="1">
        <v>54</v>
      </c>
      <c r="T252" s="1" t="s">
        <v>737</v>
      </c>
    </row>
    <row r="253" spans="1:20" x14ac:dyDescent="0.3">
      <c r="A253" s="1" t="s">
        <v>1347</v>
      </c>
      <c r="B253" s="1" t="s">
        <v>1348</v>
      </c>
      <c r="C253" s="1" t="s">
        <v>230</v>
      </c>
      <c r="D253" s="1" t="s">
        <v>217</v>
      </c>
      <c r="E253" s="1" t="s">
        <v>48</v>
      </c>
      <c r="F253" s="1" t="s">
        <v>190</v>
      </c>
      <c r="G253" s="1">
        <v>35</v>
      </c>
      <c r="H253" s="1" t="s">
        <v>84</v>
      </c>
      <c r="I253" s="1" t="s">
        <v>198</v>
      </c>
      <c r="J253" s="1" t="s">
        <v>1349</v>
      </c>
      <c r="K253" s="1">
        <v>28.1</v>
      </c>
      <c r="L253" s="1">
        <v>957328</v>
      </c>
      <c r="M253" s="1">
        <v>14.38</v>
      </c>
      <c r="N253" s="1">
        <v>5</v>
      </c>
      <c r="O253" s="1" t="s">
        <v>41</v>
      </c>
      <c r="P253" s="1" t="s">
        <v>1350</v>
      </c>
      <c r="Q253" s="1" t="s">
        <v>1351</v>
      </c>
      <c r="R253" s="1">
        <v>19</v>
      </c>
      <c r="S253" s="1">
        <v>59</v>
      </c>
      <c r="T253" s="1" t="s">
        <v>847</v>
      </c>
    </row>
    <row r="254" spans="1:20" x14ac:dyDescent="0.3">
      <c r="A254" s="1" t="s">
        <v>1352</v>
      </c>
      <c r="B254" s="1" t="s">
        <v>1353</v>
      </c>
      <c r="C254" s="1" t="s">
        <v>22</v>
      </c>
      <c r="D254" s="1" t="s">
        <v>70</v>
      </c>
      <c r="E254" s="1" t="s">
        <v>60</v>
      </c>
      <c r="F254" s="1" t="s">
        <v>133</v>
      </c>
      <c r="G254" s="1">
        <v>33</v>
      </c>
      <c r="H254" s="1" t="s">
        <v>204</v>
      </c>
      <c r="I254" s="1" t="s">
        <v>125</v>
      </c>
      <c r="J254" s="1" t="s">
        <v>1354</v>
      </c>
      <c r="K254" s="1">
        <v>10.8</v>
      </c>
      <c r="L254" s="1">
        <v>1637588</v>
      </c>
      <c r="M254" s="1">
        <v>21.27</v>
      </c>
      <c r="N254" s="1">
        <v>4</v>
      </c>
      <c r="O254" s="1" t="s">
        <v>41</v>
      </c>
      <c r="P254" s="1" t="s">
        <v>1355</v>
      </c>
      <c r="Q254" s="1" t="s">
        <v>1356</v>
      </c>
      <c r="R254" s="1">
        <v>71</v>
      </c>
      <c r="S254" s="1">
        <v>33</v>
      </c>
      <c r="T254" s="1" t="s">
        <v>1357</v>
      </c>
    </row>
    <row r="255" spans="1:20" x14ac:dyDescent="0.3">
      <c r="A255" s="1" t="s">
        <v>1358</v>
      </c>
      <c r="B255" s="1" t="s">
        <v>1359</v>
      </c>
      <c r="C255" s="1" t="s">
        <v>255</v>
      </c>
      <c r="D255" s="1" t="s">
        <v>327</v>
      </c>
      <c r="E255" s="1" t="s">
        <v>92</v>
      </c>
      <c r="F255" s="1" t="s">
        <v>37</v>
      </c>
      <c r="G255" s="1">
        <v>32</v>
      </c>
      <c r="H255" s="1" t="s">
        <v>218</v>
      </c>
      <c r="I255" s="1" t="s">
        <v>27</v>
      </c>
      <c r="J255" s="1" t="s">
        <v>1360</v>
      </c>
      <c r="K255" s="1">
        <v>3.8</v>
      </c>
      <c r="L255" s="1"/>
      <c r="M255" s="1">
        <v>12.23</v>
      </c>
      <c r="N255" s="1">
        <v>1</v>
      </c>
      <c r="O255" s="1" t="s">
        <v>41</v>
      </c>
      <c r="P255" s="1" t="s">
        <v>1361</v>
      </c>
      <c r="Q255" s="1" t="s">
        <v>1362</v>
      </c>
      <c r="R255" s="1">
        <v>16</v>
      </c>
      <c r="S255" s="1">
        <v>97</v>
      </c>
      <c r="T255" s="1" t="s">
        <v>147</v>
      </c>
    </row>
    <row r="256" spans="1:20" x14ac:dyDescent="0.3">
      <c r="A256" s="1" t="s">
        <v>1363</v>
      </c>
      <c r="B256" s="1" t="s">
        <v>1276</v>
      </c>
      <c r="C256" s="1" t="s">
        <v>124</v>
      </c>
      <c r="D256" s="1" t="s">
        <v>59</v>
      </c>
      <c r="E256" s="1" t="s">
        <v>24</v>
      </c>
      <c r="F256" s="1" t="s">
        <v>190</v>
      </c>
      <c r="G256" s="1">
        <v>44</v>
      </c>
      <c r="H256" s="1" t="s">
        <v>204</v>
      </c>
      <c r="I256" s="1" t="s">
        <v>51</v>
      </c>
      <c r="J256" s="1" t="s">
        <v>1364</v>
      </c>
      <c r="K256" s="1">
        <v>1.2</v>
      </c>
      <c r="L256" s="1">
        <v>1745042</v>
      </c>
      <c r="M256" s="1">
        <v>9.35</v>
      </c>
      <c r="N256" s="1">
        <v>4</v>
      </c>
      <c r="O256" s="1" t="s">
        <v>258</v>
      </c>
      <c r="P256" s="1" t="s">
        <v>1365</v>
      </c>
      <c r="Q256" s="1" t="s">
        <v>1366</v>
      </c>
      <c r="R256" s="1">
        <v>10</v>
      </c>
      <c r="S256" s="1">
        <v>6</v>
      </c>
      <c r="T256" s="1" t="s">
        <v>847</v>
      </c>
    </row>
    <row r="257" spans="1:20" x14ac:dyDescent="0.3">
      <c r="A257" s="1" t="s">
        <v>1367</v>
      </c>
      <c r="B257" s="1" t="s">
        <v>1368</v>
      </c>
      <c r="C257" s="1" t="s">
        <v>255</v>
      </c>
      <c r="D257" s="1" t="s">
        <v>244</v>
      </c>
      <c r="E257" s="1" t="s">
        <v>175</v>
      </c>
      <c r="F257" s="1" t="s">
        <v>72</v>
      </c>
      <c r="G257" s="1">
        <v>43</v>
      </c>
      <c r="H257" s="1" t="s">
        <v>26</v>
      </c>
      <c r="I257" s="1" t="s">
        <v>27</v>
      </c>
      <c r="J257" s="1" t="s">
        <v>1369</v>
      </c>
      <c r="K257" s="1">
        <v>27.3</v>
      </c>
      <c r="L257" s="1">
        <v>353474</v>
      </c>
      <c r="M257" s="1">
        <v>7.4</v>
      </c>
      <c r="N257" s="1">
        <v>4</v>
      </c>
      <c r="O257" s="1" t="s">
        <v>41</v>
      </c>
      <c r="P257" s="1" t="s">
        <v>1370</v>
      </c>
      <c r="Q257" s="1" t="s">
        <v>1371</v>
      </c>
      <c r="R257" s="1">
        <v>12</v>
      </c>
      <c r="S257" s="1">
        <v>111</v>
      </c>
      <c r="T257" s="1" t="s">
        <v>129</v>
      </c>
    </row>
    <row r="258" spans="1:20" x14ac:dyDescent="0.3">
      <c r="A258" s="1" t="s">
        <v>1372</v>
      </c>
      <c r="B258" s="1" t="s">
        <v>1373</v>
      </c>
      <c r="C258" s="1" t="s">
        <v>46</v>
      </c>
      <c r="D258" s="1" t="s">
        <v>327</v>
      </c>
      <c r="E258" s="1" t="s">
        <v>71</v>
      </c>
      <c r="F258" s="1" t="s">
        <v>37</v>
      </c>
      <c r="G258" s="1">
        <v>32</v>
      </c>
      <c r="H258" s="1" t="s">
        <v>103</v>
      </c>
      <c r="I258" s="1" t="s">
        <v>51</v>
      </c>
      <c r="J258" s="1" t="s">
        <v>1374</v>
      </c>
      <c r="K258" s="1">
        <v>20.6</v>
      </c>
      <c r="L258" s="1" t="s">
        <v>220</v>
      </c>
      <c r="M258" s="1"/>
      <c r="N258" s="1">
        <v>3</v>
      </c>
      <c r="O258" s="1" t="s">
        <v>64</v>
      </c>
      <c r="P258" s="1" t="s">
        <v>1375</v>
      </c>
      <c r="Q258" s="1" t="s">
        <v>1376</v>
      </c>
      <c r="R258" s="1">
        <v>61</v>
      </c>
      <c r="S258" s="1">
        <v>7</v>
      </c>
      <c r="T258" s="1" t="s">
        <v>1049</v>
      </c>
    </row>
    <row r="259" spans="1:20" x14ac:dyDescent="0.3">
      <c r="A259" s="1" t="s">
        <v>1377</v>
      </c>
      <c r="B259" s="1" t="s">
        <v>283</v>
      </c>
      <c r="C259" s="1" t="s">
        <v>110</v>
      </c>
      <c r="D259" s="1" t="s">
        <v>244</v>
      </c>
      <c r="E259" s="1" t="s">
        <v>60</v>
      </c>
      <c r="F259" s="1" t="s">
        <v>61</v>
      </c>
      <c r="G259" s="1">
        <v>30</v>
      </c>
      <c r="H259" s="1" t="s">
        <v>26</v>
      </c>
      <c r="I259" s="1" t="s">
        <v>125</v>
      </c>
      <c r="J259" s="1" t="s">
        <v>1378</v>
      </c>
      <c r="K259" s="1">
        <v>3.2</v>
      </c>
      <c r="L259" s="1">
        <v>2319871</v>
      </c>
      <c r="M259" s="1">
        <v>22.18</v>
      </c>
      <c r="N259" s="1">
        <v>4</v>
      </c>
      <c r="O259" s="1" t="s">
        <v>29</v>
      </c>
      <c r="P259" s="1" t="s">
        <v>1379</v>
      </c>
      <c r="Q259" s="1" t="s">
        <v>1380</v>
      </c>
      <c r="R259" s="1">
        <v>50</v>
      </c>
      <c r="S259" s="1">
        <v>101</v>
      </c>
      <c r="T259" s="1" t="s">
        <v>213</v>
      </c>
    </row>
    <row r="260" spans="1:20" x14ac:dyDescent="0.3">
      <c r="A260" s="1" t="s">
        <v>1381</v>
      </c>
      <c r="B260" s="1" t="s">
        <v>1382</v>
      </c>
      <c r="C260" s="1" t="s">
        <v>46</v>
      </c>
      <c r="D260" s="1" t="s">
        <v>327</v>
      </c>
      <c r="E260" s="1" t="s">
        <v>155</v>
      </c>
      <c r="F260" s="1" t="s">
        <v>190</v>
      </c>
      <c r="G260" s="1">
        <v>32</v>
      </c>
      <c r="H260" s="1" t="s">
        <v>84</v>
      </c>
      <c r="I260" s="1" t="s">
        <v>198</v>
      </c>
      <c r="J260" s="1" t="s">
        <v>1383</v>
      </c>
      <c r="K260" s="1">
        <v>24.2</v>
      </c>
      <c r="L260" s="1">
        <v>422229</v>
      </c>
      <c r="M260" s="1">
        <v>10.18</v>
      </c>
      <c r="N260" s="1">
        <v>1</v>
      </c>
      <c r="O260" s="1" t="s">
        <v>41</v>
      </c>
      <c r="P260" s="1" t="s">
        <v>1384</v>
      </c>
      <c r="Q260" s="1" t="s">
        <v>1385</v>
      </c>
      <c r="R260" s="1">
        <v>11</v>
      </c>
      <c r="S260" s="1">
        <v>107</v>
      </c>
      <c r="T260" s="1" t="s">
        <v>528</v>
      </c>
    </row>
    <row r="261" spans="1:20" x14ac:dyDescent="0.3">
      <c r="A261" s="1" t="s">
        <v>1386</v>
      </c>
      <c r="B261" s="1" t="s">
        <v>1387</v>
      </c>
      <c r="C261" s="1" t="s">
        <v>69</v>
      </c>
      <c r="D261" s="1" t="s">
        <v>83</v>
      </c>
      <c r="E261" s="1" t="s">
        <v>60</v>
      </c>
      <c r="F261" s="1" t="s">
        <v>72</v>
      </c>
      <c r="G261" s="1">
        <v>33</v>
      </c>
      <c r="H261" s="1" t="s">
        <v>103</v>
      </c>
      <c r="I261" s="1" t="s">
        <v>27</v>
      </c>
      <c r="J261" s="1" t="s">
        <v>1388</v>
      </c>
      <c r="K261" s="1">
        <v>10.8</v>
      </c>
      <c r="L261" s="1">
        <v>2290542</v>
      </c>
      <c r="M261" s="1">
        <v>5.36</v>
      </c>
      <c r="N261" s="1">
        <v>2</v>
      </c>
      <c r="O261" s="1" t="s">
        <v>29</v>
      </c>
      <c r="P261" s="1" t="s">
        <v>1389</v>
      </c>
      <c r="Q261" s="1" t="s">
        <v>1390</v>
      </c>
      <c r="R261" s="1">
        <v>28</v>
      </c>
      <c r="S261" s="1">
        <v>34</v>
      </c>
      <c r="T261" s="1" t="s">
        <v>938</v>
      </c>
    </row>
    <row r="262" spans="1:20" x14ac:dyDescent="0.3">
      <c r="A262" s="1" t="s">
        <v>1391</v>
      </c>
      <c r="B262" s="1" t="s">
        <v>1392</v>
      </c>
      <c r="C262" s="1" t="s">
        <v>216</v>
      </c>
      <c r="D262" s="1" t="s">
        <v>231</v>
      </c>
      <c r="E262" s="1" t="s">
        <v>48</v>
      </c>
      <c r="F262" s="1" t="s">
        <v>72</v>
      </c>
      <c r="G262" s="1">
        <v>34</v>
      </c>
      <c r="H262" s="1" t="s">
        <v>73</v>
      </c>
      <c r="I262" s="1" t="s">
        <v>85</v>
      </c>
      <c r="J262" s="1" t="s">
        <v>1393</v>
      </c>
      <c r="K262" s="1">
        <v>12</v>
      </c>
      <c r="L262" s="1" t="s">
        <v>591</v>
      </c>
      <c r="M262" s="1"/>
      <c r="N262" s="1">
        <v>5</v>
      </c>
      <c r="O262" s="1" t="s">
        <v>64</v>
      </c>
      <c r="P262" s="1" t="s">
        <v>1394</v>
      </c>
      <c r="Q262" s="1" t="s">
        <v>1395</v>
      </c>
      <c r="R262" s="1">
        <v>69</v>
      </c>
      <c r="S262" s="1">
        <v>30</v>
      </c>
      <c r="T262" s="1" t="s">
        <v>147</v>
      </c>
    </row>
    <row r="263" spans="1:20" x14ac:dyDescent="0.3">
      <c r="A263" s="1" t="s">
        <v>152</v>
      </c>
      <c r="B263" s="1" t="s">
        <v>1396</v>
      </c>
      <c r="C263" s="1" t="s">
        <v>69</v>
      </c>
      <c r="D263" s="1" t="s">
        <v>59</v>
      </c>
      <c r="E263" s="1" t="s">
        <v>92</v>
      </c>
      <c r="F263" s="1" t="s">
        <v>133</v>
      </c>
      <c r="G263" s="1">
        <v>50</v>
      </c>
      <c r="H263" s="1" t="s">
        <v>62</v>
      </c>
      <c r="I263" s="1" t="s">
        <v>198</v>
      </c>
      <c r="J263" s="1" t="s">
        <v>1397</v>
      </c>
      <c r="K263" s="1">
        <v>17.899999999999999</v>
      </c>
      <c r="L263" s="1">
        <v>2242227</v>
      </c>
      <c r="M263" s="1">
        <v>7.8</v>
      </c>
      <c r="N263" s="1">
        <v>3</v>
      </c>
      <c r="O263" s="1" t="s">
        <v>41</v>
      </c>
      <c r="P263" s="1" t="s">
        <v>1398</v>
      </c>
      <c r="Q263" s="1" t="s">
        <v>1399</v>
      </c>
      <c r="R263" s="1">
        <v>26</v>
      </c>
      <c r="S263" s="1">
        <v>44</v>
      </c>
      <c r="T263" s="1" t="s">
        <v>66</v>
      </c>
    </row>
    <row r="264" spans="1:20" x14ac:dyDescent="0.3">
      <c r="A264" s="1" t="s">
        <v>1400</v>
      </c>
      <c r="B264" s="1" t="s">
        <v>1401</v>
      </c>
      <c r="C264" s="1" t="s">
        <v>35</v>
      </c>
      <c r="D264" s="1" t="s">
        <v>327</v>
      </c>
      <c r="E264" s="1" t="s">
        <v>92</v>
      </c>
      <c r="F264" s="1" t="s">
        <v>190</v>
      </c>
      <c r="G264" s="1">
        <v>44</v>
      </c>
      <c r="H264" s="1" t="s">
        <v>26</v>
      </c>
      <c r="I264" s="1" t="s">
        <v>85</v>
      </c>
      <c r="J264" s="1" t="s">
        <v>1402</v>
      </c>
      <c r="K264" s="1">
        <v>14.7</v>
      </c>
      <c r="L264" s="1">
        <v>1747170</v>
      </c>
      <c r="M264" s="1">
        <v>17.93</v>
      </c>
      <c r="N264" s="1">
        <v>2</v>
      </c>
      <c r="O264" s="1" t="s">
        <v>41</v>
      </c>
      <c r="P264" s="1" t="s">
        <v>1403</v>
      </c>
      <c r="Q264" s="1" t="s">
        <v>1404</v>
      </c>
      <c r="R264" s="1">
        <v>29</v>
      </c>
      <c r="S264" s="1">
        <v>42</v>
      </c>
      <c r="T264" s="1" t="s">
        <v>528</v>
      </c>
    </row>
    <row r="265" spans="1:20" x14ac:dyDescent="0.3">
      <c r="A265" s="1" t="s">
        <v>1405</v>
      </c>
      <c r="B265" s="1" t="s">
        <v>1406</v>
      </c>
      <c r="C265" s="1" t="s">
        <v>69</v>
      </c>
      <c r="D265" s="1" t="s">
        <v>256</v>
      </c>
      <c r="E265" s="1" t="s">
        <v>189</v>
      </c>
      <c r="F265" s="1" t="s">
        <v>93</v>
      </c>
      <c r="G265" s="1">
        <v>35</v>
      </c>
      <c r="H265" s="1" t="s">
        <v>84</v>
      </c>
      <c r="I265" s="1" t="s">
        <v>51</v>
      </c>
      <c r="J265" s="1" t="s">
        <v>1407</v>
      </c>
      <c r="K265" s="1">
        <v>3.5</v>
      </c>
      <c r="L265" s="1">
        <v>1475073</v>
      </c>
      <c r="M265" s="1">
        <v>18.57</v>
      </c>
      <c r="N265" s="1">
        <v>2</v>
      </c>
      <c r="O265" s="1" t="s">
        <v>64</v>
      </c>
      <c r="P265" s="1" t="s">
        <v>1408</v>
      </c>
      <c r="Q265" s="1" t="s">
        <v>1409</v>
      </c>
      <c r="R265" s="1">
        <v>77</v>
      </c>
      <c r="S265" s="1">
        <v>83</v>
      </c>
      <c r="T265" s="1" t="s">
        <v>138</v>
      </c>
    </row>
    <row r="266" spans="1:20" x14ac:dyDescent="0.3">
      <c r="A266" s="1" t="s">
        <v>1410</v>
      </c>
      <c r="B266" s="1" t="s">
        <v>283</v>
      </c>
      <c r="C266" s="1" t="s">
        <v>230</v>
      </c>
      <c r="D266" s="1" t="s">
        <v>141</v>
      </c>
      <c r="E266" s="1" t="s">
        <v>189</v>
      </c>
      <c r="F266" s="1" t="s">
        <v>37</v>
      </c>
      <c r="G266" s="1">
        <v>55</v>
      </c>
      <c r="H266" s="1" t="s">
        <v>62</v>
      </c>
      <c r="I266" s="1" t="s">
        <v>74</v>
      </c>
      <c r="J266" s="1" t="s">
        <v>1411</v>
      </c>
      <c r="K266" s="1">
        <v>13.4</v>
      </c>
      <c r="L266" s="1">
        <v>2275975</v>
      </c>
      <c r="M266" s="1">
        <v>22.28</v>
      </c>
      <c r="N266" s="1">
        <v>2</v>
      </c>
      <c r="O266" s="1" t="s">
        <v>41</v>
      </c>
      <c r="P266" s="1" t="s">
        <v>1412</v>
      </c>
      <c r="Q266" s="1" t="s">
        <v>1413</v>
      </c>
      <c r="R266" s="1">
        <v>59</v>
      </c>
      <c r="S266" s="1">
        <v>21</v>
      </c>
      <c r="T266" s="1" t="s">
        <v>1055</v>
      </c>
    </row>
    <row r="267" spans="1:20" x14ac:dyDescent="0.3">
      <c r="A267" s="1" t="s">
        <v>1414</v>
      </c>
      <c r="B267" s="1" t="s">
        <v>1415</v>
      </c>
      <c r="C267" s="1" t="s">
        <v>22</v>
      </c>
      <c r="D267" s="1" t="s">
        <v>217</v>
      </c>
      <c r="E267" s="1" t="s">
        <v>36</v>
      </c>
      <c r="F267" s="1" t="s">
        <v>133</v>
      </c>
      <c r="G267" s="1">
        <v>45</v>
      </c>
      <c r="H267" s="1" t="s">
        <v>50</v>
      </c>
      <c r="I267" s="1" t="s">
        <v>118</v>
      </c>
      <c r="J267" s="1" t="s">
        <v>1416</v>
      </c>
      <c r="K267" s="1"/>
      <c r="L267" s="1">
        <v>1204355</v>
      </c>
      <c r="M267" s="1">
        <v>0.84</v>
      </c>
      <c r="N267" s="1">
        <v>2</v>
      </c>
      <c r="O267" s="1" t="s">
        <v>258</v>
      </c>
      <c r="P267" s="1" t="s">
        <v>1417</v>
      </c>
      <c r="Q267" s="1" t="s">
        <v>365</v>
      </c>
      <c r="R267" s="1">
        <v>48</v>
      </c>
      <c r="S267" s="1">
        <v>16</v>
      </c>
      <c r="T267" s="1" t="s">
        <v>397</v>
      </c>
    </row>
    <row r="268" spans="1:20" x14ac:dyDescent="0.3">
      <c r="A268" s="1" t="s">
        <v>1418</v>
      </c>
      <c r="B268" s="1" t="s">
        <v>1419</v>
      </c>
      <c r="C268" s="1" t="s">
        <v>124</v>
      </c>
      <c r="D268" s="1" t="s">
        <v>217</v>
      </c>
      <c r="E268" s="1" t="s">
        <v>155</v>
      </c>
      <c r="F268" s="1" t="s">
        <v>49</v>
      </c>
      <c r="G268" s="1">
        <v>37</v>
      </c>
      <c r="H268" s="1" t="s">
        <v>142</v>
      </c>
      <c r="I268" s="1" t="s">
        <v>118</v>
      </c>
      <c r="J268" s="1" t="s">
        <v>1420</v>
      </c>
      <c r="K268" s="1">
        <v>1.3</v>
      </c>
      <c r="L268" s="1">
        <v>1804845</v>
      </c>
      <c r="M268" s="1">
        <v>5.82</v>
      </c>
      <c r="N268" s="1">
        <v>4</v>
      </c>
      <c r="O268" s="1" t="s">
        <v>258</v>
      </c>
      <c r="P268" s="1" t="s">
        <v>1421</v>
      </c>
      <c r="Q268" s="1"/>
      <c r="R268" s="1">
        <v>67</v>
      </c>
      <c r="S268" s="1">
        <v>42</v>
      </c>
      <c r="T268" s="1" t="s">
        <v>832</v>
      </c>
    </row>
    <row r="269" spans="1:20" x14ac:dyDescent="0.3">
      <c r="A269" s="1" t="s">
        <v>1422</v>
      </c>
      <c r="B269" s="1" t="s">
        <v>1423</v>
      </c>
      <c r="C269" s="1" t="s">
        <v>124</v>
      </c>
      <c r="D269" s="1" t="s">
        <v>83</v>
      </c>
      <c r="E269" s="1" t="s">
        <v>92</v>
      </c>
      <c r="F269" s="1" t="s">
        <v>133</v>
      </c>
      <c r="G269" s="1">
        <v>48</v>
      </c>
      <c r="H269" s="1" t="s">
        <v>204</v>
      </c>
      <c r="I269" s="1" t="s">
        <v>118</v>
      </c>
      <c r="J269" s="1" t="s">
        <v>1424</v>
      </c>
      <c r="K269" s="1">
        <v>8.1999999999999993</v>
      </c>
      <c r="L269" s="1">
        <v>420683</v>
      </c>
      <c r="M269" s="1">
        <v>5.31</v>
      </c>
      <c r="N269" s="1">
        <v>4</v>
      </c>
      <c r="O269" s="1" t="s">
        <v>258</v>
      </c>
      <c r="P269" s="1" t="s">
        <v>1425</v>
      </c>
      <c r="Q269" s="1" t="s">
        <v>1426</v>
      </c>
      <c r="R269" s="1">
        <v>54</v>
      </c>
      <c r="S269" s="1">
        <v>32</v>
      </c>
      <c r="T269" s="1" t="s">
        <v>559</v>
      </c>
    </row>
    <row r="270" spans="1:20" x14ac:dyDescent="0.3">
      <c r="A270" s="1" t="s">
        <v>1427</v>
      </c>
      <c r="B270" s="1" t="s">
        <v>1428</v>
      </c>
      <c r="C270" s="1" t="s">
        <v>82</v>
      </c>
      <c r="D270" s="1" t="s">
        <v>182</v>
      </c>
      <c r="E270" s="1" t="s">
        <v>60</v>
      </c>
      <c r="F270" s="1" t="s">
        <v>25</v>
      </c>
      <c r="G270" s="1">
        <v>34</v>
      </c>
      <c r="H270" s="1" t="s">
        <v>50</v>
      </c>
      <c r="I270" s="1" t="s">
        <v>74</v>
      </c>
      <c r="J270" s="1" t="s">
        <v>1429</v>
      </c>
      <c r="K270" s="1">
        <v>24.3</v>
      </c>
      <c r="L270" s="1">
        <v>1307899</v>
      </c>
      <c r="M270" s="1">
        <v>18.420000000000002</v>
      </c>
      <c r="N270" s="1">
        <v>3</v>
      </c>
      <c r="O270" s="1" t="s">
        <v>258</v>
      </c>
      <c r="P270" s="1" t="s">
        <v>1430</v>
      </c>
      <c r="Q270" s="1" t="s">
        <v>1431</v>
      </c>
      <c r="R270" s="1">
        <v>73</v>
      </c>
      <c r="S270" s="1">
        <v>43</v>
      </c>
      <c r="T270" s="1" t="s">
        <v>528</v>
      </c>
    </row>
    <row r="271" spans="1:20" x14ac:dyDescent="0.3">
      <c r="A271" s="1" t="s">
        <v>1432</v>
      </c>
      <c r="B271" s="1" t="s">
        <v>1433</v>
      </c>
      <c r="C271" s="1" t="s">
        <v>230</v>
      </c>
      <c r="D271" s="1" t="s">
        <v>70</v>
      </c>
      <c r="E271" s="1" t="s">
        <v>60</v>
      </c>
      <c r="F271" s="1" t="s">
        <v>72</v>
      </c>
      <c r="G271" s="1">
        <v>27</v>
      </c>
      <c r="H271" s="1" t="s">
        <v>84</v>
      </c>
      <c r="I271" s="1" t="s">
        <v>51</v>
      </c>
      <c r="J271" s="1" t="s">
        <v>1434</v>
      </c>
      <c r="K271" s="1">
        <v>23.4</v>
      </c>
      <c r="L271" s="1">
        <v>912736</v>
      </c>
      <c r="M271" s="1">
        <v>19.28</v>
      </c>
      <c r="N271" s="1">
        <v>5</v>
      </c>
      <c r="O271" s="1" t="s">
        <v>76</v>
      </c>
      <c r="P271" s="1" t="s">
        <v>1435</v>
      </c>
      <c r="Q271" s="1" t="s">
        <v>1436</v>
      </c>
      <c r="R271" s="1">
        <v>4</v>
      </c>
      <c r="S271" s="1">
        <v>94</v>
      </c>
      <c r="T271" s="1" t="s">
        <v>213</v>
      </c>
    </row>
    <row r="272" spans="1:20" x14ac:dyDescent="0.3">
      <c r="A272" s="1" t="s">
        <v>1437</v>
      </c>
      <c r="B272" s="1" t="s">
        <v>496</v>
      </c>
      <c r="C272" s="1" t="s">
        <v>230</v>
      </c>
      <c r="D272" s="1" t="s">
        <v>244</v>
      </c>
      <c r="E272" s="1" t="s">
        <v>71</v>
      </c>
      <c r="F272" s="1" t="s">
        <v>61</v>
      </c>
      <c r="G272" s="1">
        <v>51</v>
      </c>
      <c r="H272" s="1" t="s">
        <v>218</v>
      </c>
      <c r="I272" s="1" t="s">
        <v>118</v>
      </c>
      <c r="J272" s="1" t="s">
        <v>1438</v>
      </c>
      <c r="K272" s="1">
        <v>24.5</v>
      </c>
      <c r="L272" s="1">
        <v>1705551</v>
      </c>
      <c r="M272" s="1">
        <v>22.2</v>
      </c>
      <c r="N272" s="1">
        <v>3</v>
      </c>
      <c r="O272" s="1" t="s">
        <v>76</v>
      </c>
      <c r="P272" s="1" t="s">
        <v>1439</v>
      </c>
      <c r="Q272" s="1" t="s">
        <v>1440</v>
      </c>
      <c r="R272" s="1">
        <v>19</v>
      </c>
      <c r="S272" s="1">
        <v>3</v>
      </c>
      <c r="T272" s="1" t="s">
        <v>366</v>
      </c>
    </row>
    <row r="273" spans="1:20" x14ac:dyDescent="0.3">
      <c r="A273" s="1" t="s">
        <v>1441</v>
      </c>
      <c r="B273" s="1" t="s">
        <v>1442</v>
      </c>
      <c r="C273" s="1" t="s">
        <v>82</v>
      </c>
      <c r="D273" s="1" t="s">
        <v>231</v>
      </c>
      <c r="E273" s="1" t="s">
        <v>92</v>
      </c>
      <c r="F273" s="1" t="s">
        <v>49</v>
      </c>
      <c r="G273" s="1">
        <v>42</v>
      </c>
      <c r="H273" s="1" t="s">
        <v>204</v>
      </c>
      <c r="I273" s="1" t="s">
        <v>118</v>
      </c>
      <c r="J273" s="1" t="s">
        <v>1443</v>
      </c>
      <c r="K273" s="1">
        <v>5</v>
      </c>
      <c r="L273" s="1">
        <v>2360555</v>
      </c>
      <c r="M273" s="1">
        <v>2.9</v>
      </c>
      <c r="N273" s="1">
        <v>4</v>
      </c>
      <c r="O273" s="1" t="s">
        <v>41</v>
      </c>
      <c r="P273" s="1" t="s">
        <v>220</v>
      </c>
      <c r="Q273" s="1" t="s">
        <v>1444</v>
      </c>
      <c r="R273" s="1">
        <v>63</v>
      </c>
      <c r="S273" s="1">
        <v>45</v>
      </c>
      <c r="T273" s="1" t="s">
        <v>1055</v>
      </c>
    </row>
    <row r="274" spans="1:20" x14ac:dyDescent="0.3">
      <c r="A274" s="1" t="s">
        <v>1280</v>
      </c>
      <c r="B274" s="1" t="s">
        <v>1445</v>
      </c>
      <c r="C274" s="1" t="s">
        <v>230</v>
      </c>
      <c r="D274" s="1" t="s">
        <v>47</v>
      </c>
      <c r="E274" s="1" t="s">
        <v>36</v>
      </c>
      <c r="F274" s="1" t="s">
        <v>49</v>
      </c>
      <c r="G274" s="1">
        <v>26</v>
      </c>
      <c r="H274" s="1" t="s">
        <v>38</v>
      </c>
      <c r="I274" s="1" t="s">
        <v>27</v>
      </c>
      <c r="J274" s="1" t="s">
        <v>1446</v>
      </c>
      <c r="K274" s="1">
        <v>21.9</v>
      </c>
      <c r="L274" s="1">
        <v>1246296</v>
      </c>
      <c r="M274" s="1">
        <v>14.61</v>
      </c>
      <c r="N274" s="1" t="s">
        <v>577</v>
      </c>
      <c r="O274" s="1" t="s">
        <v>41</v>
      </c>
      <c r="P274" s="1" t="s">
        <v>1447</v>
      </c>
      <c r="Q274" s="1" t="s">
        <v>1448</v>
      </c>
      <c r="R274" s="1">
        <v>47</v>
      </c>
      <c r="S274" s="1">
        <v>29</v>
      </c>
      <c r="T274" s="1"/>
    </row>
    <row r="275" spans="1:20" x14ac:dyDescent="0.3">
      <c r="A275" s="1" t="s">
        <v>1449</v>
      </c>
      <c r="B275" s="1" t="s">
        <v>1450</v>
      </c>
      <c r="C275" s="1" t="s">
        <v>255</v>
      </c>
      <c r="D275" s="1" t="s">
        <v>59</v>
      </c>
      <c r="E275" s="1" t="s">
        <v>168</v>
      </c>
      <c r="F275" s="1" t="s">
        <v>49</v>
      </c>
      <c r="G275" s="1">
        <v>54</v>
      </c>
      <c r="H275" s="1" t="s">
        <v>38</v>
      </c>
      <c r="I275" s="1" t="s">
        <v>27</v>
      </c>
      <c r="J275" s="1" t="s">
        <v>1451</v>
      </c>
      <c r="K275" s="1">
        <v>11</v>
      </c>
      <c r="L275" s="1">
        <v>1467277</v>
      </c>
      <c r="M275" s="1">
        <v>4.01</v>
      </c>
      <c r="N275" s="1">
        <v>5</v>
      </c>
      <c r="O275" s="1" t="s">
        <v>135</v>
      </c>
      <c r="P275" s="1" t="s">
        <v>1452</v>
      </c>
      <c r="Q275" s="1" t="s">
        <v>1453</v>
      </c>
      <c r="R275" s="1">
        <v>68</v>
      </c>
      <c r="S275" s="1">
        <v>118</v>
      </c>
      <c r="T275" s="1" t="s">
        <v>468</v>
      </c>
    </row>
    <row r="276" spans="1:20" x14ac:dyDescent="0.3">
      <c r="A276" s="1" t="s">
        <v>1454</v>
      </c>
      <c r="B276" s="1" t="s">
        <v>1455</v>
      </c>
      <c r="C276" s="1" t="s">
        <v>132</v>
      </c>
      <c r="D276" s="1" t="s">
        <v>111</v>
      </c>
      <c r="E276" s="1" t="s">
        <v>175</v>
      </c>
      <c r="F276" s="1" t="s">
        <v>37</v>
      </c>
      <c r="G276" s="1">
        <v>51</v>
      </c>
      <c r="H276" s="1" t="s">
        <v>84</v>
      </c>
      <c r="I276" s="1" t="s">
        <v>27</v>
      </c>
      <c r="J276" s="1" t="s">
        <v>1456</v>
      </c>
      <c r="K276" s="1">
        <v>23.6</v>
      </c>
      <c r="L276" s="1">
        <v>765277</v>
      </c>
      <c r="M276" s="1">
        <v>17.7</v>
      </c>
      <c r="N276" s="1">
        <v>4</v>
      </c>
      <c r="O276" s="1" t="s">
        <v>41</v>
      </c>
      <c r="P276" s="1" t="s">
        <v>1457</v>
      </c>
      <c r="Q276" s="1" t="s">
        <v>1458</v>
      </c>
      <c r="R276" s="1">
        <v>63</v>
      </c>
      <c r="S276" s="1">
        <v>12</v>
      </c>
      <c r="T276" s="1" t="s">
        <v>904</v>
      </c>
    </row>
    <row r="277" spans="1:20" x14ac:dyDescent="0.3">
      <c r="A277" s="1" t="s">
        <v>1459</v>
      </c>
      <c r="B277" s="1" t="s">
        <v>1460</v>
      </c>
      <c r="C277" s="1" t="s">
        <v>22</v>
      </c>
      <c r="D277" s="1" t="s">
        <v>111</v>
      </c>
      <c r="E277" s="1" t="s">
        <v>175</v>
      </c>
      <c r="F277" s="1" t="s">
        <v>72</v>
      </c>
      <c r="G277" s="1">
        <v>28</v>
      </c>
      <c r="H277" s="1" t="s">
        <v>204</v>
      </c>
      <c r="I277" s="1" t="s">
        <v>125</v>
      </c>
      <c r="J277" s="1" t="s">
        <v>1461</v>
      </c>
      <c r="K277" s="1">
        <v>17.600000000000001</v>
      </c>
      <c r="L277" s="1">
        <v>1401001</v>
      </c>
      <c r="M277" s="1">
        <v>17.34</v>
      </c>
      <c r="N277" s="1">
        <v>3</v>
      </c>
      <c r="O277" s="1" t="s">
        <v>41</v>
      </c>
      <c r="P277" s="1" t="s">
        <v>1462</v>
      </c>
      <c r="Q277" s="1" t="s">
        <v>1463</v>
      </c>
      <c r="R277" s="1">
        <v>62</v>
      </c>
      <c r="S277" s="1">
        <v>96</v>
      </c>
      <c r="T277" s="1" t="s">
        <v>1280</v>
      </c>
    </row>
    <row r="278" spans="1:20" x14ac:dyDescent="0.3">
      <c r="A278" s="1" t="s">
        <v>1464</v>
      </c>
      <c r="B278" s="1" t="s">
        <v>1465</v>
      </c>
      <c r="C278" s="1" t="s">
        <v>35</v>
      </c>
      <c r="D278" s="1" t="s">
        <v>59</v>
      </c>
      <c r="E278" s="1" t="s">
        <v>92</v>
      </c>
      <c r="F278" s="1" t="s">
        <v>72</v>
      </c>
      <c r="G278" s="1">
        <v>15</v>
      </c>
      <c r="H278" s="1" t="s">
        <v>218</v>
      </c>
      <c r="I278" s="1" t="s">
        <v>198</v>
      </c>
      <c r="J278" s="1" t="s">
        <v>1466</v>
      </c>
      <c r="K278" s="1">
        <v>1.3</v>
      </c>
      <c r="L278" s="1">
        <v>586171</v>
      </c>
      <c r="M278" s="1">
        <v>11.65</v>
      </c>
      <c r="N278" s="1">
        <v>5</v>
      </c>
      <c r="O278" s="1" t="s">
        <v>41</v>
      </c>
      <c r="P278" s="1" t="s">
        <v>1467</v>
      </c>
      <c r="Q278" s="1" t="s">
        <v>1468</v>
      </c>
      <c r="R278" s="1">
        <v>63</v>
      </c>
      <c r="S278" s="1">
        <v>33</v>
      </c>
      <c r="T278" s="1" t="s">
        <v>1071</v>
      </c>
    </row>
    <row r="279" spans="1:20" x14ac:dyDescent="0.3">
      <c r="A279" s="1" t="s">
        <v>1055</v>
      </c>
      <c r="B279" s="1" t="s">
        <v>1469</v>
      </c>
      <c r="C279" s="1" t="s">
        <v>100</v>
      </c>
      <c r="D279" s="1" t="s">
        <v>47</v>
      </c>
      <c r="E279" s="1" t="s">
        <v>36</v>
      </c>
      <c r="F279" s="1" t="s">
        <v>133</v>
      </c>
      <c r="G279" s="1"/>
      <c r="H279" s="1" t="s">
        <v>204</v>
      </c>
      <c r="I279" s="1" t="s">
        <v>125</v>
      </c>
      <c r="J279" s="1" t="s">
        <v>1470</v>
      </c>
      <c r="K279" s="1">
        <v>7.2</v>
      </c>
      <c r="L279" s="1">
        <v>626898</v>
      </c>
      <c r="M279" s="1">
        <v>2.23</v>
      </c>
      <c r="N279" s="1">
        <v>2</v>
      </c>
      <c r="O279" s="1" t="s">
        <v>29</v>
      </c>
      <c r="P279" s="1" t="s">
        <v>1471</v>
      </c>
      <c r="Q279" s="1" t="s">
        <v>1472</v>
      </c>
      <c r="R279" s="1">
        <v>13</v>
      </c>
      <c r="S279" s="1">
        <v>112</v>
      </c>
      <c r="T279" s="1" t="s">
        <v>767</v>
      </c>
    </row>
    <row r="280" spans="1:20" x14ac:dyDescent="0.3">
      <c r="A280" s="1" t="s">
        <v>1473</v>
      </c>
      <c r="B280" s="1" t="s">
        <v>1474</v>
      </c>
      <c r="C280" s="1" t="s">
        <v>100</v>
      </c>
      <c r="D280" s="1" t="s">
        <v>83</v>
      </c>
      <c r="E280" s="1" t="s">
        <v>92</v>
      </c>
      <c r="F280" s="1" t="s">
        <v>93</v>
      </c>
      <c r="G280" s="1">
        <v>31</v>
      </c>
      <c r="H280" s="1" t="s">
        <v>26</v>
      </c>
      <c r="I280" s="1" t="s">
        <v>125</v>
      </c>
      <c r="J280" s="1" t="s">
        <v>1475</v>
      </c>
      <c r="K280" s="1">
        <v>5.2</v>
      </c>
      <c r="L280" s="1">
        <v>2289831</v>
      </c>
      <c r="M280" s="1">
        <v>12.13</v>
      </c>
      <c r="N280" s="1">
        <v>3</v>
      </c>
      <c r="O280" s="1" t="s">
        <v>135</v>
      </c>
      <c r="P280" s="1" t="s">
        <v>220</v>
      </c>
      <c r="Q280" s="1" t="s">
        <v>1476</v>
      </c>
      <c r="R280" s="1">
        <v>30</v>
      </c>
      <c r="S280" s="1">
        <v>75</v>
      </c>
      <c r="T280" s="1" t="s">
        <v>89</v>
      </c>
    </row>
    <row r="281" spans="1:20" x14ac:dyDescent="0.3">
      <c r="A281" s="1" t="s">
        <v>1477</v>
      </c>
      <c r="B281" s="1" t="s">
        <v>1478</v>
      </c>
      <c r="C281" s="1" t="s">
        <v>197</v>
      </c>
      <c r="D281" s="1" t="s">
        <v>231</v>
      </c>
      <c r="E281" s="1" t="s">
        <v>36</v>
      </c>
      <c r="F281" s="1" t="s">
        <v>49</v>
      </c>
      <c r="G281" s="1">
        <v>58</v>
      </c>
      <c r="H281" s="1" t="s">
        <v>218</v>
      </c>
      <c r="I281" s="1" t="s">
        <v>74</v>
      </c>
      <c r="J281" s="1" t="s">
        <v>1479</v>
      </c>
      <c r="K281" s="1">
        <v>10.1</v>
      </c>
      <c r="L281" s="1">
        <v>1686636</v>
      </c>
      <c r="M281" s="1">
        <v>8.1999999999999993</v>
      </c>
      <c r="N281" s="1">
        <v>5</v>
      </c>
      <c r="O281" s="1" t="s">
        <v>41</v>
      </c>
      <c r="P281" s="1" t="s">
        <v>1480</v>
      </c>
      <c r="Q281" s="1" t="s">
        <v>1481</v>
      </c>
      <c r="R281" s="1">
        <v>63</v>
      </c>
      <c r="S281" s="1">
        <v>51</v>
      </c>
      <c r="T281" s="1" t="s">
        <v>288</v>
      </c>
    </row>
    <row r="282" spans="1:20" x14ac:dyDescent="0.3">
      <c r="A282" s="1" t="s">
        <v>354</v>
      </c>
      <c r="B282" s="1" t="s">
        <v>1083</v>
      </c>
      <c r="C282" s="1" t="s">
        <v>197</v>
      </c>
      <c r="D282" s="1" t="s">
        <v>47</v>
      </c>
      <c r="E282" s="1" t="s">
        <v>189</v>
      </c>
      <c r="F282" s="1" t="s">
        <v>133</v>
      </c>
      <c r="G282" s="1">
        <v>52</v>
      </c>
      <c r="H282" s="1" t="s">
        <v>26</v>
      </c>
      <c r="I282" s="1" t="s">
        <v>125</v>
      </c>
      <c r="J282" s="1" t="s">
        <v>1482</v>
      </c>
      <c r="K282" s="1">
        <v>7.6</v>
      </c>
      <c r="L282" s="1">
        <v>1157790</v>
      </c>
      <c r="M282" s="1">
        <v>24.53</v>
      </c>
      <c r="N282" s="1">
        <v>3</v>
      </c>
      <c r="O282" s="1" t="s">
        <v>41</v>
      </c>
      <c r="P282" s="1" t="s">
        <v>1483</v>
      </c>
      <c r="Q282" s="1" t="s">
        <v>1484</v>
      </c>
      <c r="R282" s="1">
        <v>40</v>
      </c>
      <c r="S282" s="1">
        <v>47</v>
      </c>
      <c r="T282" s="1" t="s">
        <v>1061</v>
      </c>
    </row>
    <row r="283" spans="1:20" x14ac:dyDescent="0.3">
      <c r="A283" s="1" t="s">
        <v>1485</v>
      </c>
      <c r="B283" s="1" t="s">
        <v>1486</v>
      </c>
      <c r="C283" s="1" t="s">
        <v>216</v>
      </c>
      <c r="D283" s="1" t="s">
        <v>70</v>
      </c>
      <c r="E283" s="1" t="s">
        <v>24</v>
      </c>
      <c r="F283" s="1" t="s">
        <v>37</v>
      </c>
      <c r="G283" s="1">
        <v>42</v>
      </c>
      <c r="H283" s="1" t="s">
        <v>26</v>
      </c>
      <c r="I283" s="1" t="s">
        <v>198</v>
      </c>
      <c r="J283" s="1" t="s">
        <v>1487</v>
      </c>
      <c r="K283" s="1">
        <v>13.1</v>
      </c>
      <c r="L283" s="1">
        <v>2044703</v>
      </c>
      <c r="M283" s="1">
        <v>4.01</v>
      </c>
      <c r="N283" s="1">
        <v>3</v>
      </c>
      <c r="O283" s="1" t="s">
        <v>41</v>
      </c>
      <c r="P283" s="1" t="s">
        <v>1488</v>
      </c>
      <c r="Q283" s="1" t="s">
        <v>1489</v>
      </c>
      <c r="R283" s="1">
        <v>19</v>
      </c>
      <c r="S283" s="1">
        <v>3</v>
      </c>
      <c r="T283" s="1" t="s">
        <v>573</v>
      </c>
    </row>
    <row r="284" spans="1:20" x14ac:dyDescent="0.3">
      <c r="A284" s="1" t="s">
        <v>1490</v>
      </c>
      <c r="B284" s="1" t="s">
        <v>1491</v>
      </c>
      <c r="C284" s="1" t="s">
        <v>58</v>
      </c>
      <c r="D284" s="1" t="s">
        <v>111</v>
      </c>
      <c r="E284" s="1" t="s">
        <v>36</v>
      </c>
      <c r="F284" s="1" t="s">
        <v>49</v>
      </c>
      <c r="G284" s="1">
        <v>51</v>
      </c>
      <c r="H284" s="1" t="s">
        <v>84</v>
      </c>
      <c r="I284" s="1" t="s">
        <v>118</v>
      </c>
      <c r="J284" s="1" t="s">
        <v>1492</v>
      </c>
      <c r="K284" s="1">
        <v>3.9</v>
      </c>
      <c r="L284" s="1">
        <v>2394826</v>
      </c>
      <c r="M284" s="1">
        <v>5.47</v>
      </c>
      <c r="N284" s="1">
        <v>4</v>
      </c>
      <c r="O284" s="1" t="s">
        <v>41</v>
      </c>
      <c r="P284" s="1" t="s">
        <v>1493</v>
      </c>
      <c r="Q284" s="1" t="s">
        <v>1494</v>
      </c>
      <c r="R284" s="1">
        <v>53</v>
      </c>
      <c r="S284" s="1">
        <v>99</v>
      </c>
      <c r="T284" s="1" t="s">
        <v>522</v>
      </c>
    </row>
    <row r="285" spans="1:20" x14ac:dyDescent="0.3">
      <c r="A285" s="1" t="s">
        <v>1495</v>
      </c>
      <c r="B285" s="1" t="s">
        <v>1496</v>
      </c>
      <c r="C285" s="1" t="s">
        <v>35</v>
      </c>
      <c r="D285" s="1" t="s">
        <v>47</v>
      </c>
      <c r="E285" s="1" t="s">
        <v>168</v>
      </c>
      <c r="F285" s="1" t="s">
        <v>93</v>
      </c>
      <c r="G285" s="1">
        <v>52</v>
      </c>
      <c r="H285" s="1" t="s">
        <v>62</v>
      </c>
      <c r="I285" s="1" t="s">
        <v>118</v>
      </c>
      <c r="J285" s="1" t="s">
        <v>1497</v>
      </c>
      <c r="K285" s="1">
        <v>1.4</v>
      </c>
      <c r="L285" s="1">
        <v>1195358</v>
      </c>
      <c r="M285" s="1">
        <v>17.09</v>
      </c>
      <c r="N285" s="1">
        <v>3</v>
      </c>
      <c r="O285" s="1" t="s">
        <v>41</v>
      </c>
      <c r="P285" s="1" t="s">
        <v>1498</v>
      </c>
      <c r="Q285" s="1" t="s">
        <v>1499</v>
      </c>
      <c r="R285" s="1">
        <v>22</v>
      </c>
      <c r="S285" s="1">
        <v>8</v>
      </c>
      <c r="T285" s="1" t="s">
        <v>138</v>
      </c>
    </row>
    <row r="286" spans="1:20" x14ac:dyDescent="0.3">
      <c r="A286" s="1" t="s">
        <v>1500</v>
      </c>
      <c r="B286" s="1" t="s">
        <v>1501</v>
      </c>
      <c r="C286" s="1" t="s">
        <v>255</v>
      </c>
      <c r="D286" s="1" t="s">
        <v>256</v>
      </c>
      <c r="E286" s="1" t="s">
        <v>36</v>
      </c>
      <c r="F286" s="1" t="s">
        <v>93</v>
      </c>
      <c r="G286" s="1">
        <v>58</v>
      </c>
      <c r="H286" s="1" t="s">
        <v>103</v>
      </c>
      <c r="I286" s="1" t="s">
        <v>85</v>
      </c>
      <c r="J286" s="1" t="s">
        <v>1502</v>
      </c>
      <c r="K286" s="1">
        <v>29</v>
      </c>
      <c r="L286" s="1">
        <v>1634698</v>
      </c>
      <c r="M286" s="1">
        <v>16.75</v>
      </c>
      <c r="N286" s="1">
        <v>2</v>
      </c>
      <c r="O286" s="1" t="s">
        <v>41</v>
      </c>
      <c r="P286" s="1" t="s">
        <v>1503</v>
      </c>
      <c r="Q286" s="1" t="s">
        <v>1504</v>
      </c>
      <c r="R286" s="1">
        <v>42</v>
      </c>
      <c r="S286" s="1">
        <v>33</v>
      </c>
      <c r="T286" s="1" t="s">
        <v>360</v>
      </c>
    </row>
    <row r="287" spans="1:20" x14ac:dyDescent="0.3">
      <c r="A287" s="1" t="s">
        <v>1505</v>
      </c>
      <c r="B287" s="1" t="s">
        <v>1506</v>
      </c>
      <c r="C287" s="1" t="s">
        <v>100</v>
      </c>
      <c r="D287" s="1" t="s">
        <v>101</v>
      </c>
      <c r="E287" s="1" t="s">
        <v>102</v>
      </c>
      <c r="F287" s="1" t="s">
        <v>72</v>
      </c>
      <c r="G287" s="1">
        <v>42</v>
      </c>
      <c r="H287" s="1" t="s">
        <v>38</v>
      </c>
      <c r="I287" s="1" t="s">
        <v>27</v>
      </c>
      <c r="J287" s="1" t="s">
        <v>1507</v>
      </c>
      <c r="K287" s="1">
        <v>11.7</v>
      </c>
      <c r="L287" s="1">
        <v>349576</v>
      </c>
      <c r="M287" s="1">
        <v>12.47</v>
      </c>
      <c r="N287" s="1">
        <v>4</v>
      </c>
      <c r="O287" s="1" t="s">
        <v>41</v>
      </c>
      <c r="P287" s="1" t="s">
        <v>1508</v>
      </c>
      <c r="Q287" s="1" t="s">
        <v>1509</v>
      </c>
      <c r="R287" s="1">
        <v>47</v>
      </c>
      <c r="S287" s="1">
        <v>51</v>
      </c>
      <c r="T287" s="1" t="s">
        <v>138</v>
      </c>
    </row>
    <row r="288" spans="1:20" x14ac:dyDescent="0.3">
      <c r="A288" s="1" t="s">
        <v>1510</v>
      </c>
      <c r="B288" s="1" t="s">
        <v>1511</v>
      </c>
      <c r="C288" s="1" t="s">
        <v>35</v>
      </c>
      <c r="D288" s="1" t="s">
        <v>70</v>
      </c>
      <c r="E288" s="1" t="s">
        <v>36</v>
      </c>
      <c r="F288" s="1" t="s">
        <v>93</v>
      </c>
      <c r="G288" s="1">
        <v>45</v>
      </c>
      <c r="H288" s="1" t="s">
        <v>204</v>
      </c>
      <c r="I288" s="1" t="s">
        <v>51</v>
      </c>
      <c r="J288" s="1" t="s">
        <v>1512</v>
      </c>
      <c r="K288" s="1">
        <v>13.6</v>
      </c>
      <c r="L288" s="1">
        <v>2359224</v>
      </c>
      <c r="M288" s="1">
        <v>16.13</v>
      </c>
      <c r="N288" s="1">
        <v>3</v>
      </c>
      <c r="O288" s="1" t="s">
        <v>41</v>
      </c>
      <c r="P288" s="1" t="s">
        <v>1513</v>
      </c>
      <c r="Q288" s="1" t="s">
        <v>1514</v>
      </c>
      <c r="R288" s="1">
        <v>25</v>
      </c>
      <c r="S288" s="1">
        <v>48</v>
      </c>
      <c r="T288" s="1"/>
    </row>
    <row r="289" spans="1:20" x14ac:dyDescent="0.3">
      <c r="A289" s="1" t="s">
        <v>1515</v>
      </c>
      <c r="B289" s="1" t="s">
        <v>1261</v>
      </c>
      <c r="C289" s="1" t="s">
        <v>100</v>
      </c>
      <c r="D289" s="1" t="s">
        <v>70</v>
      </c>
      <c r="E289" s="1" t="s">
        <v>168</v>
      </c>
      <c r="F289" s="1" t="s">
        <v>25</v>
      </c>
      <c r="G289" s="1">
        <v>43</v>
      </c>
      <c r="H289" s="1" t="s">
        <v>103</v>
      </c>
      <c r="I289" s="1" t="s">
        <v>39</v>
      </c>
      <c r="J289" s="1" t="s">
        <v>1283</v>
      </c>
      <c r="K289" s="1">
        <v>22.1</v>
      </c>
      <c r="L289" s="1">
        <v>2200447</v>
      </c>
      <c r="M289" s="1">
        <v>23.8</v>
      </c>
      <c r="N289" s="1">
        <v>1</v>
      </c>
      <c r="O289" s="1" t="s">
        <v>41</v>
      </c>
      <c r="P289" s="1" t="s">
        <v>1516</v>
      </c>
      <c r="Q289" s="1" t="s">
        <v>1517</v>
      </c>
      <c r="R289" s="1">
        <v>51</v>
      </c>
      <c r="S289" s="1">
        <v>30</v>
      </c>
      <c r="T289" s="1" t="s">
        <v>213</v>
      </c>
    </row>
    <row r="290" spans="1:20" x14ac:dyDescent="0.3">
      <c r="A290" s="1" t="s">
        <v>1518</v>
      </c>
      <c r="B290" s="1" t="s">
        <v>1519</v>
      </c>
      <c r="C290" s="1" t="s">
        <v>35</v>
      </c>
      <c r="D290" s="1" t="s">
        <v>244</v>
      </c>
      <c r="E290" s="1" t="s">
        <v>155</v>
      </c>
      <c r="F290" s="1" t="s">
        <v>72</v>
      </c>
      <c r="G290" s="1">
        <v>30</v>
      </c>
      <c r="H290" s="1" t="s">
        <v>142</v>
      </c>
      <c r="I290" s="1" t="s">
        <v>27</v>
      </c>
      <c r="J290" s="1" t="s">
        <v>1520</v>
      </c>
      <c r="K290" s="1">
        <v>9.3000000000000007</v>
      </c>
      <c r="L290" s="1">
        <v>2053837</v>
      </c>
      <c r="M290" s="1">
        <v>17.13</v>
      </c>
      <c r="N290" s="1">
        <v>3</v>
      </c>
      <c r="O290" s="1" t="s">
        <v>41</v>
      </c>
      <c r="P290" s="1" t="s">
        <v>1521</v>
      </c>
      <c r="Q290" s="1" t="s">
        <v>1522</v>
      </c>
      <c r="R290" s="1">
        <v>47</v>
      </c>
      <c r="S290" s="1">
        <v>32</v>
      </c>
      <c r="T290" s="1" t="s">
        <v>66</v>
      </c>
    </row>
    <row r="291" spans="1:20" x14ac:dyDescent="0.3">
      <c r="A291" s="1" t="s">
        <v>847</v>
      </c>
      <c r="B291" s="1" t="s">
        <v>1523</v>
      </c>
      <c r="C291" s="1" t="s">
        <v>230</v>
      </c>
      <c r="D291" s="1" t="s">
        <v>70</v>
      </c>
      <c r="E291" s="1" t="s">
        <v>92</v>
      </c>
      <c r="F291" s="1" t="s">
        <v>61</v>
      </c>
      <c r="G291" s="1">
        <v>44</v>
      </c>
      <c r="H291" s="1" t="s">
        <v>38</v>
      </c>
      <c r="I291" s="1" t="s">
        <v>27</v>
      </c>
      <c r="J291" s="1" t="s">
        <v>1524</v>
      </c>
      <c r="K291" s="1">
        <v>13</v>
      </c>
      <c r="L291" s="1">
        <v>1554743</v>
      </c>
      <c r="M291" s="1">
        <v>7.38</v>
      </c>
      <c r="N291" s="1">
        <v>4</v>
      </c>
      <c r="O291" s="1" t="s">
        <v>29</v>
      </c>
      <c r="P291" s="1" t="s">
        <v>1525</v>
      </c>
      <c r="Q291" s="1" t="s">
        <v>1526</v>
      </c>
      <c r="R291" s="1">
        <v>50</v>
      </c>
      <c r="S291" s="1">
        <v>72</v>
      </c>
      <c r="T291" s="1" t="s">
        <v>107</v>
      </c>
    </row>
    <row r="292" spans="1:20" x14ac:dyDescent="0.3">
      <c r="A292" s="1" t="s">
        <v>1527</v>
      </c>
      <c r="B292" s="1" t="s">
        <v>1528</v>
      </c>
      <c r="C292" s="1" t="s">
        <v>35</v>
      </c>
      <c r="D292" s="1" t="s">
        <v>217</v>
      </c>
      <c r="E292" s="1" t="s">
        <v>155</v>
      </c>
      <c r="F292" s="1" t="s">
        <v>93</v>
      </c>
      <c r="G292" s="1">
        <v>46</v>
      </c>
      <c r="H292" s="1" t="s">
        <v>218</v>
      </c>
      <c r="I292" s="1" t="s">
        <v>198</v>
      </c>
      <c r="J292" s="1" t="s">
        <v>1529</v>
      </c>
      <c r="K292" s="1">
        <v>6.6</v>
      </c>
      <c r="L292" s="1">
        <v>2139398</v>
      </c>
      <c r="M292" s="1">
        <v>12.23</v>
      </c>
      <c r="N292" s="1">
        <v>4</v>
      </c>
      <c r="O292" s="1" t="s">
        <v>64</v>
      </c>
      <c r="P292" s="1" t="s">
        <v>1530</v>
      </c>
      <c r="Q292" s="1" t="s">
        <v>1531</v>
      </c>
      <c r="R292" s="1">
        <v>40</v>
      </c>
      <c r="S292" s="1">
        <v>26</v>
      </c>
      <c r="T292" s="1" t="s">
        <v>419</v>
      </c>
    </row>
    <row r="293" spans="1:20" x14ac:dyDescent="0.3">
      <c r="A293" s="1" t="s">
        <v>1532</v>
      </c>
      <c r="B293" s="1" t="s">
        <v>1533</v>
      </c>
      <c r="C293" s="1" t="s">
        <v>58</v>
      </c>
      <c r="D293" s="1" t="s">
        <v>182</v>
      </c>
      <c r="E293" s="1" t="s">
        <v>168</v>
      </c>
      <c r="F293" s="1" t="s">
        <v>61</v>
      </c>
      <c r="G293" s="1">
        <v>24</v>
      </c>
      <c r="H293" s="1" t="s">
        <v>142</v>
      </c>
      <c r="I293" s="1" t="s">
        <v>85</v>
      </c>
      <c r="J293" s="1" t="s">
        <v>1534</v>
      </c>
      <c r="K293" s="1">
        <v>21.9</v>
      </c>
      <c r="L293" s="1">
        <v>1548424</v>
      </c>
      <c r="M293" s="1"/>
      <c r="N293" s="1">
        <v>3</v>
      </c>
      <c r="O293" s="1" t="s">
        <v>41</v>
      </c>
      <c r="P293" s="1" t="s">
        <v>1535</v>
      </c>
      <c r="Q293" s="1" t="s">
        <v>1536</v>
      </c>
      <c r="R293" s="1"/>
      <c r="S293" s="1">
        <v>83</v>
      </c>
      <c r="T293" s="1" t="s">
        <v>510</v>
      </c>
    </row>
    <row r="294" spans="1:20" x14ac:dyDescent="0.3">
      <c r="A294" s="1" t="s">
        <v>1537</v>
      </c>
      <c r="B294" s="1" t="s">
        <v>1538</v>
      </c>
      <c r="C294" s="1" t="s">
        <v>100</v>
      </c>
      <c r="D294" s="1" t="s">
        <v>217</v>
      </c>
      <c r="E294" s="1" t="s">
        <v>155</v>
      </c>
      <c r="F294" s="1" t="s">
        <v>190</v>
      </c>
      <c r="G294" s="1">
        <v>52</v>
      </c>
      <c r="H294" s="1" t="s">
        <v>50</v>
      </c>
      <c r="I294" s="1" t="s">
        <v>39</v>
      </c>
      <c r="J294" s="1" t="s">
        <v>1539</v>
      </c>
      <c r="K294" s="1">
        <v>12</v>
      </c>
      <c r="L294" s="1">
        <v>1627557</v>
      </c>
      <c r="M294" s="1">
        <v>24.24</v>
      </c>
      <c r="N294" s="1">
        <v>4</v>
      </c>
      <c r="O294" s="1" t="s">
        <v>64</v>
      </c>
      <c r="P294" s="1" t="s">
        <v>1540</v>
      </c>
      <c r="Q294" s="1" t="s">
        <v>1541</v>
      </c>
      <c r="R294" s="1">
        <v>9</v>
      </c>
      <c r="S294" s="1">
        <v>68</v>
      </c>
      <c r="T294" s="1" t="s">
        <v>201</v>
      </c>
    </row>
    <row r="295" spans="1:20" x14ac:dyDescent="0.3">
      <c r="A295" s="1" t="s">
        <v>1542</v>
      </c>
      <c r="B295" s="1" t="s">
        <v>1543</v>
      </c>
      <c r="C295" s="1" t="s">
        <v>132</v>
      </c>
      <c r="D295" s="1" t="s">
        <v>59</v>
      </c>
      <c r="E295" s="1" t="s">
        <v>24</v>
      </c>
      <c r="F295" s="1" t="s">
        <v>37</v>
      </c>
      <c r="G295" s="1">
        <v>48</v>
      </c>
      <c r="H295" s="1" t="s">
        <v>38</v>
      </c>
      <c r="I295" s="1" t="s">
        <v>39</v>
      </c>
      <c r="J295" s="1" t="s">
        <v>1544</v>
      </c>
      <c r="K295" s="1">
        <v>15.3</v>
      </c>
      <c r="L295" s="1">
        <v>718180</v>
      </c>
      <c r="M295" s="1">
        <v>8.77</v>
      </c>
      <c r="N295" s="1">
        <v>4</v>
      </c>
      <c r="O295" s="1" t="s">
        <v>64</v>
      </c>
      <c r="P295" s="1" t="s">
        <v>1545</v>
      </c>
      <c r="Q295" s="1" t="s">
        <v>1546</v>
      </c>
      <c r="R295" s="1">
        <v>59</v>
      </c>
      <c r="S295" s="1">
        <v>105</v>
      </c>
      <c r="T295" s="1" t="s">
        <v>152</v>
      </c>
    </row>
    <row r="296" spans="1:20" x14ac:dyDescent="0.3">
      <c r="A296" s="1" t="s">
        <v>1547</v>
      </c>
      <c r="B296" s="1" t="s">
        <v>1548</v>
      </c>
      <c r="C296" s="1" t="s">
        <v>46</v>
      </c>
      <c r="D296" s="1" t="s">
        <v>217</v>
      </c>
      <c r="E296" s="1" t="s">
        <v>189</v>
      </c>
      <c r="F296" s="1" t="s">
        <v>37</v>
      </c>
      <c r="G296" s="1">
        <v>28</v>
      </c>
      <c r="H296" s="1" t="s">
        <v>84</v>
      </c>
      <c r="I296" s="1" t="s">
        <v>74</v>
      </c>
      <c r="J296" s="1" t="s">
        <v>1549</v>
      </c>
      <c r="K296" s="1">
        <v>17.2</v>
      </c>
      <c r="L296" s="1">
        <v>708521</v>
      </c>
      <c r="M296" s="1">
        <v>12.38</v>
      </c>
      <c r="N296" s="1">
        <v>4</v>
      </c>
      <c r="O296" s="1" t="s">
        <v>76</v>
      </c>
      <c r="P296" s="1" t="s">
        <v>1550</v>
      </c>
      <c r="Q296" s="1" t="s">
        <v>1551</v>
      </c>
      <c r="R296" s="1">
        <v>19</v>
      </c>
      <c r="S296" s="1">
        <v>39</v>
      </c>
      <c r="T296" s="1" t="s">
        <v>528</v>
      </c>
    </row>
    <row r="297" spans="1:20" x14ac:dyDescent="0.3">
      <c r="A297" s="1" t="s">
        <v>1552</v>
      </c>
      <c r="B297" s="1" t="s">
        <v>1553</v>
      </c>
      <c r="C297" s="1" t="s">
        <v>132</v>
      </c>
      <c r="D297" s="1" t="s">
        <v>83</v>
      </c>
      <c r="E297" s="1" t="s">
        <v>48</v>
      </c>
      <c r="F297" s="1" t="s">
        <v>25</v>
      </c>
      <c r="G297" s="1">
        <v>42</v>
      </c>
      <c r="H297" s="1" t="s">
        <v>73</v>
      </c>
      <c r="I297" s="1" t="s">
        <v>198</v>
      </c>
      <c r="J297" s="1" t="s">
        <v>1554</v>
      </c>
      <c r="K297" s="1"/>
      <c r="L297" s="1">
        <v>1946819</v>
      </c>
      <c r="M297" s="1">
        <v>21.86</v>
      </c>
      <c r="N297" s="1">
        <v>3</v>
      </c>
      <c r="O297" s="1" t="s">
        <v>41</v>
      </c>
      <c r="P297" s="1" t="s">
        <v>1555</v>
      </c>
      <c r="Q297" s="1" t="s">
        <v>1556</v>
      </c>
      <c r="R297" s="1">
        <v>72</v>
      </c>
      <c r="S297" s="1">
        <v>38</v>
      </c>
      <c r="T297" s="1" t="s">
        <v>287</v>
      </c>
    </row>
    <row r="298" spans="1:20" x14ac:dyDescent="0.3">
      <c r="A298" s="1" t="s">
        <v>1557</v>
      </c>
      <c r="B298" s="1" t="s">
        <v>1558</v>
      </c>
      <c r="C298" s="1" t="s">
        <v>132</v>
      </c>
      <c r="D298" s="1" t="s">
        <v>111</v>
      </c>
      <c r="E298" s="1" t="s">
        <v>168</v>
      </c>
      <c r="F298" s="1" t="s">
        <v>25</v>
      </c>
      <c r="G298" s="1">
        <v>58</v>
      </c>
      <c r="H298" s="1" t="s">
        <v>62</v>
      </c>
      <c r="I298" s="1" t="s">
        <v>85</v>
      </c>
      <c r="J298" s="1" t="s">
        <v>1559</v>
      </c>
      <c r="K298" s="1">
        <v>11.2</v>
      </c>
      <c r="L298" s="1">
        <v>551161</v>
      </c>
      <c r="M298" s="1">
        <v>7.18</v>
      </c>
      <c r="N298" s="1">
        <v>3</v>
      </c>
      <c r="O298" s="1" t="s">
        <v>41</v>
      </c>
      <c r="P298" s="1" t="s">
        <v>1560</v>
      </c>
      <c r="Q298" s="1" t="s">
        <v>1561</v>
      </c>
      <c r="R298" s="1">
        <v>76</v>
      </c>
      <c r="S298" s="1">
        <v>30</v>
      </c>
      <c r="T298" s="1" t="s">
        <v>166</v>
      </c>
    </row>
    <row r="299" spans="1:20" x14ac:dyDescent="0.3">
      <c r="A299" s="1" t="s">
        <v>1562</v>
      </c>
      <c r="B299" s="1" t="s">
        <v>1563</v>
      </c>
      <c r="C299" s="1" t="s">
        <v>100</v>
      </c>
      <c r="D299" s="1" t="s">
        <v>70</v>
      </c>
      <c r="E299" s="1" t="s">
        <v>155</v>
      </c>
      <c r="F299" s="1" t="s">
        <v>49</v>
      </c>
      <c r="G299" s="1">
        <v>53</v>
      </c>
      <c r="H299" s="1" t="s">
        <v>73</v>
      </c>
      <c r="I299" s="1" t="s">
        <v>39</v>
      </c>
      <c r="J299" s="1" t="s">
        <v>1564</v>
      </c>
      <c r="K299" s="1">
        <v>18.399999999999999</v>
      </c>
      <c r="L299" s="1">
        <v>1926973</v>
      </c>
      <c r="M299" s="1">
        <v>6.22</v>
      </c>
      <c r="N299" s="1">
        <v>3</v>
      </c>
      <c r="O299" s="1" t="s">
        <v>29</v>
      </c>
      <c r="P299" s="1" t="s">
        <v>1565</v>
      </c>
      <c r="Q299" s="1" t="s">
        <v>1566</v>
      </c>
      <c r="R299" s="1">
        <v>29</v>
      </c>
      <c r="S299" s="1">
        <v>112</v>
      </c>
      <c r="T299" s="1" t="s">
        <v>66</v>
      </c>
    </row>
    <row r="300" spans="1:20" x14ac:dyDescent="0.3">
      <c r="A300" s="1" t="s">
        <v>1567</v>
      </c>
      <c r="B300" s="1" t="s">
        <v>1568</v>
      </c>
      <c r="C300" s="1" t="s">
        <v>82</v>
      </c>
      <c r="D300" s="1" t="s">
        <v>182</v>
      </c>
      <c r="E300" s="1" t="s">
        <v>175</v>
      </c>
      <c r="F300" s="1" t="s">
        <v>93</v>
      </c>
      <c r="G300" s="1">
        <v>25</v>
      </c>
      <c r="H300" s="1" t="s">
        <v>218</v>
      </c>
      <c r="I300" s="1" t="s">
        <v>27</v>
      </c>
      <c r="J300" s="1" t="s">
        <v>1569</v>
      </c>
      <c r="K300" s="1"/>
      <c r="L300" s="1">
        <v>2230864</v>
      </c>
      <c r="M300" s="1">
        <v>10.27</v>
      </c>
      <c r="N300" s="1">
        <v>1</v>
      </c>
      <c r="O300" s="1" t="s">
        <v>258</v>
      </c>
      <c r="P300" s="1" t="s">
        <v>1570</v>
      </c>
      <c r="Q300" s="1" t="s">
        <v>1571</v>
      </c>
      <c r="R300" s="1">
        <v>0</v>
      </c>
      <c r="S300" s="1">
        <v>84</v>
      </c>
      <c r="T300" s="1" t="s">
        <v>653</v>
      </c>
    </row>
    <row r="301" spans="1:20" x14ac:dyDescent="0.3">
      <c r="A301" s="1" t="s">
        <v>1572</v>
      </c>
      <c r="B301" s="1" t="s">
        <v>1573</v>
      </c>
      <c r="C301" s="1" t="s">
        <v>69</v>
      </c>
      <c r="D301" s="1" t="s">
        <v>182</v>
      </c>
      <c r="E301" s="1" t="s">
        <v>168</v>
      </c>
      <c r="F301" s="1" t="s">
        <v>25</v>
      </c>
      <c r="G301" s="1">
        <v>23</v>
      </c>
      <c r="H301" s="1" t="s">
        <v>38</v>
      </c>
      <c r="I301" s="1" t="s">
        <v>118</v>
      </c>
      <c r="J301" s="1" t="s">
        <v>1574</v>
      </c>
      <c r="K301" s="1">
        <v>4.2</v>
      </c>
      <c r="L301" s="1">
        <v>1595402</v>
      </c>
      <c r="M301" s="1">
        <v>3.01</v>
      </c>
      <c r="N301" s="1">
        <v>1</v>
      </c>
      <c r="O301" s="1" t="s">
        <v>64</v>
      </c>
      <c r="P301" s="1" t="s">
        <v>1575</v>
      </c>
      <c r="Q301" s="1" t="s">
        <v>1576</v>
      </c>
      <c r="R301" s="1">
        <v>23</v>
      </c>
      <c r="S301" s="1">
        <v>35</v>
      </c>
      <c r="T301" s="1" t="s">
        <v>360</v>
      </c>
    </row>
    <row r="302" spans="1:20" x14ac:dyDescent="0.3">
      <c r="A302" s="1" t="s">
        <v>1577</v>
      </c>
      <c r="B302" s="1" t="s">
        <v>1578</v>
      </c>
      <c r="C302" s="1" t="s">
        <v>216</v>
      </c>
      <c r="D302" s="1" t="s">
        <v>244</v>
      </c>
      <c r="E302" s="1" t="s">
        <v>24</v>
      </c>
      <c r="F302" s="1" t="s">
        <v>25</v>
      </c>
      <c r="G302" s="1">
        <v>51</v>
      </c>
      <c r="H302" s="1" t="s">
        <v>62</v>
      </c>
      <c r="I302" s="1" t="s">
        <v>198</v>
      </c>
      <c r="J302" s="1" t="s">
        <v>1314</v>
      </c>
      <c r="K302" s="1">
        <v>24.6</v>
      </c>
      <c r="L302" s="1">
        <v>1823968</v>
      </c>
      <c r="M302" s="1">
        <v>0.05</v>
      </c>
      <c r="N302" s="1">
        <v>4</v>
      </c>
      <c r="O302" s="1" t="s">
        <v>41</v>
      </c>
      <c r="P302" s="1" t="s">
        <v>1579</v>
      </c>
      <c r="Q302" s="1" t="s">
        <v>1580</v>
      </c>
      <c r="R302" s="1">
        <v>37</v>
      </c>
      <c r="S302" s="1">
        <v>47</v>
      </c>
      <c r="T302" s="1" t="s">
        <v>172</v>
      </c>
    </row>
    <row r="303" spans="1:20" x14ac:dyDescent="0.3">
      <c r="A303" s="1" t="s">
        <v>1581</v>
      </c>
      <c r="B303" s="1" t="s">
        <v>1582</v>
      </c>
      <c r="C303" s="1" t="s">
        <v>58</v>
      </c>
      <c r="D303" s="1" t="s">
        <v>47</v>
      </c>
      <c r="E303" s="1" t="s">
        <v>48</v>
      </c>
      <c r="F303" s="1" t="s">
        <v>25</v>
      </c>
      <c r="G303" s="1">
        <v>49</v>
      </c>
      <c r="H303" s="1" t="s">
        <v>84</v>
      </c>
      <c r="I303" s="1" t="s">
        <v>27</v>
      </c>
      <c r="J303" s="1" t="s">
        <v>1583</v>
      </c>
      <c r="K303" s="1">
        <v>6.8</v>
      </c>
      <c r="L303" s="1">
        <v>859338</v>
      </c>
      <c r="M303" s="1">
        <v>14.67</v>
      </c>
      <c r="N303" s="1">
        <v>4</v>
      </c>
      <c r="O303" s="1" t="s">
        <v>64</v>
      </c>
      <c r="P303" s="1" t="s">
        <v>1584</v>
      </c>
      <c r="Q303" s="1" t="s">
        <v>1585</v>
      </c>
      <c r="R303" s="1">
        <v>78</v>
      </c>
      <c r="S303" s="1">
        <v>96</v>
      </c>
      <c r="T303" s="1" t="s">
        <v>516</v>
      </c>
    </row>
    <row r="304" spans="1:20" x14ac:dyDescent="0.3">
      <c r="A304" s="1" t="s">
        <v>1586</v>
      </c>
      <c r="B304" s="1" t="s">
        <v>1587</v>
      </c>
      <c r="C304" s="1" t="s">
        <v>132</v>
      </c>
      <c r="D304" s="1" t="s">
        <v>59</v>
      </c>
      <c r="E304" s="1" t="s">
        <v>175</v>
      </c>
      <c r="F304" s="1" t="s">
        <v>61</v>
      </c>
      <c r="G304" s="1">
        <v>51</v>
      </c>
      <c r="H304" s="1" t="s">
        <v>26</v>
      </c>
      <c r="I304" s="1" t="s">
        <v>39</v>
      </c>
      <c r="J304" s="1" t="s">
        <v>1588</v>
      </c>
      <c r="K304" s="1">
        <v>9.6999999999999993</v>
      </c>
      <c r="L304" s="1">
        <v>2490873</v>
      </c>
      <c r="M304" s="1">
        <v>14.44</v>
      </c>
      <c r="N304" s="1">
        <v>4</v>
      </c>
      <c r="O304" s="1" t="s">
        <v>41</v>
      </c>
      <c r="P304" s="1" t="s">
        <v>1589</v>
      </c>
      <c r="Q304" s="1" t="s">
        <v>1590</v>
      </c>
      <c r="R304" s="1">
        <v>26</v>
      </c>
      <c r="S304" s="1">
        <v>24</v>
      </c>
      <c r="T304" s="1" t="s">
        <v>241</v>
      </c>
    </row>
    <row r="305" spans="1:20" x14ac:dyDescent="0.3">
      <c r="A305" s="1" t="s">
        <v>1473</v>
      </c>
      <c r="B305" s="1" t="s">
        <v>1474</v>
      </c>
      <c r="C305" s="1" t="s">
        <v>100</v>
      </c>
      <c r="D305" s="1" t="s">
        <v>83</v>
      </c>
      <c r="E305" s="1" t="s">
        <v>92</v>
      </c>
      <c r="F305" s="1" t="s">
        <v>93</v>
      </c>
      <c r="G305" s="1">
        <v>31</v>
      </c>
      <c r="H305" s="1" t="s">
        <v>26</v>
      </c>
      <c r="I305" s="1" t="s">
        <v>125</v>
      </c>
      <c r="J305" s="1" t="s">
        <v>1475</v>
      </c>
      <c r="K305" s="1">
        <v>5.2</v>
      </c>
      <c r="L305" s="1">
        <v>2289831</v>
      </c>
      <c r="M305" s="1">
        <v>12.13</v>
      </c>
      <c r="N305" s="1">
        <v>3</v>
      </c>
      <c r="O305" s="1" t="s">
        <v>135</v>
      </c>
      <c r="P305" s="1" t="s">
        <v>220</v>
      </c>
      <c r="Q305" s="1" t="s">
        <v>1476</v>
      </c>
      <c r="R305" s="1">
        <v>30</v>
      </c>
      <c r="S305" s="1">
        <v>75</v>
      </c>
      <c r="T305" s="1" t="s">
        <v>89</v>
      </c>
    </row>
    <row r="306" spans="1:20" x14ac:dyDescent="0.3">
      <c r="A306" s="1" t="s">
        <v>1591</v>
      </c>
      <c r="B306" s="1" t="s">
        <v>1592</v>
      </c>
      <c r="C306" s="1" t="s">
        <v>216</v>
      </c>
      <c r="D306" s="1" t="s">
        <v>327</v>
      </c>
      <c r="E306" s="1" t="s">
        <v>36</v>
      </c>
      <c r="F306" s="1" t="s">
        <v>49</v>
      </c>
      <c r="G306" s="1">
        <v>43</v>
      </c>
      <c r="H306" s="1" t="s">
        <v>218</v>
      </c>
      <c r="I306" s="1" t="s">
        <v>118</v>
      </c>
      <c r="J306" s="1" t="s">
        <v>1593</v>
      </c>
      <c r="K306" s="1">
        <v>21.5</v>
      </c>
      <c r="L306" s="1">
        <v>2107331</v>
      </c>
      <c r="M306" s="1">
        <v>7.74</v>
      </c>
      <c r="N306" s="1">
        <v>3</v>
      </c>
      <c r="O306" s="1" t="s">
        <v>258</v>
      </c>
      <c r="P306" s="1" t="s">
        <v>1594</v>
      </c>
      <c r="Q306" s="1" t="s">
        <v>1595</v>
      </c>
      <c r="R306" s="1">
        <v>11</v>
      </c>
      <c r="S306" s="1">
        <v>58</v>
      </c>
      <c r="T306" s="1" t="s">
        <v>1061</v>
      </c>
    </row>
    <row r="307" spans="1:20" x14ac:dyDescent="0.3">
      <c r="A307" s="1" t="s">
        <v>89</v>
      </c>
      <c r="B307" s="1" t="s">
        <v>1596</v>
      </c>
      <c r="C307" s="1" t="s">
        <v>22</v>
      </c>
      <c r="D307" s="1" t="s">
        <v>256</v>
      </c>
      <c r="E307" s="1" t="s">
        <v>71</v>
      </c>
      <c r="F307" s="1" t="s">
        <v>133</v>
      </c>
      <c r="G307" s="1">
        <v>22</v>
      </c>
      <c r="H307" s="1" t="s">
        <v>38</v>
      </c>
      <c r="I307" s="1" t="s">
        <v>118</v>
      </c>
      <c r="J307" s="1" t="s">
        <v>1597</v>
      </c>
      <c r="K307" s="1">
        <v>18.7</v>
      </c>
      <c r="L307" s="1">
        <v>2212643</v>
      </c>
      <c r="M307" s="1">
        <v>17.45</v>
      </c>
      <c r="N307" s="1">
        <v>1</v>
      </c>
      <c r="O307" s="1" t="s">
        <v>29</v>
      </c>
      <c r="P307" s="1" t="s">
        <v>95</v>
      </c>
      <c r="Q307" s="1" t="s">
        <v>1598</v>
      </c>
      <c r="R307" s="1">
        <v>22</v>
      </c>
      <c r="S307" s="1">
        <v>12</v>
      </c>
      <c r="T307" s="1" t="s">
        <v>408</v>
      </c>
    </row>
    <row r="308" spans="1:20" x14ac:dyDescent="0.3">
      <c r="A308" s="1" t="s">
        <v>1599</v>
      </c>
      <c r="B308" s="1" t="s">
        <v>1600</v>
      </c>
      <c r="C308" s="1" t="s">
        <v>132</v>
      </c>
      <c r="D308" s="1" t="s">
        <v>217</v>
      </c>
      <c r="E308" s="1" t="s">
        <v>60</v>
      </c>
      <c r="F308" s="1" t="s">
        <v>93</v>
      </c>
      <c r="G308" s="1">
        <v>31</v>
      </c>
      <c r="H308" s="1" t="s">
        <v>84</v>
      </c>
      <c r="I308" s="1" t="s">
        <v>118</v>
      </c>
      <c r="J308" s="1" t="s">
        <v>1601</v>
      </c>
      <c r="K308" s="1">
        <v>11.5</v>
      </c>
      <c r="L308" s="1">
        <v>1830458</v>
      </c>
      <c r="M308" s="1">
        <v>4.3600000000000003</v>
      </c>
      <c r="N308" s="1">
        <v>3</v>
      </c>
      <c r="O308" s="1" t="s">
        <v>41</v>
      </c>
      <c r="P308" s="1" t="s">
        <v>1602</v>
      </c>
      <c r="Q308" s="1" t="s">
        <v>1603</v>
      </c>
      <c r="R308" s="1">
        <v>78</v>
      </c>
      <c r="S308" s="1">
        <v>28</v>
      </c>
      <c r="T308" s="1" t="s">
        <v>933</v>
      </c>
    </row>
    <row r="309" spans="1:20" x14ac:dyDescent="0.3">
      <c r="A309" s="1" t="s">
        <v>1604</v>
      </c>
      <c r="B309" s="1" t="s">
        <v>1605</v>
      </c>
      <c r="C309" s="1" t="s">
        <v>255</v>
      </c>
      <c r="D309" s="1" t="s">
        <v>70</v>
      </c>
      <c r="E309" s="1" t="s">
        <v>71</v>
      </c>
      <c r="F309" s="1" t="s">
        <v>49</v>
      </c>
      <c r="G309" s="1">
        <v>39</v>
      </c>
      <c r="H309" s="1" t="s">
        <v>204</v>
      </c>
      <c r="I309" s="1" t="s">
        <v>39</v>
      </c>
      <c r="J309" s="1" t="s">
        <v>1606</v>
      </c>
      <c r="K309" s="1">
        <v>12.7</v>
      </c>
      <c r="L309" s="1">
        <v>2362305</v>
      </c>
      <c r="M309" s="1">
        <v>13.69</v>
      </c>
      <c r="N309" s="1">
        <v>3</v>
      </c>
      <c r="O309" s="1" t="s">
        <v>64</v>
      </c>
      <c r="P309" s="1" t="s">
        <v>1607</v>
      </c>
      <c r="Q309" s="1" t="s">
        <v>1608</v>
      </c>
      <c r="R309" s="1">
        <v>3</v>
      </c>
      <c r="S309" s="1">
        <v>82</v>
      </c>
      <c r="T309" s="1" t="s">
        <v>152</v>
      </c>
    </row>
    <row r="310" spans="1:20" x14ac:dyDescent="0.3">
      <c r="A310" s="1" t="s">
        <v>1609</v>
      </c>
      <c r="B310" s="1" t="s">
        <v>1610</v>
      </c>
      <c r="C310" s="1" t="s">
        <v>230</v>
      </c>
      <c r="D310" s="1" t="s">
        <v>256</v>
      </c>
      <c r="E310" s="1" t="s">
        <v>48</v>
      </c>
      <c r="F310" s="1" t="s">
        <v>25</v>
      </c>
      <c r="G310" s="1">
        <v>51</v>
      </c>
      <c r="H310" s="1" t="s">
        <v>142</v>
      </c>
      <c r="I310" s="1" t="s">
        <v>51</v>
      </c>
      <c r="J310" s="1" t="s">
        <v>1611</v>
      </c>
      <c r="K310" s="1">
        <v>11.9</v>
      </c>
      <c r="L310" s="1">
        <v>588748</v>
      </c>
      <c r="M310" s="1">
        <v>21.94</v>
      </c>
      <c r="N310" s="1">
        <v>3</v>
      </c>
      <c r="O310" s="1" t="s">
        <v>135</v>
      </c>
      <c r="P310" s="1" t="s">
        <v>1612</v>
      </c>
      <c r="Q310" s="1" t="s">
        <v>1613</v>
      </c>
      <c r="R310" s="1">
        <v>15</v>
      </c>
      <c r="S310" s="1">
        <v>84</v>
      </c>
      <c r="T310" s="1" t="s">
        <v>425</v>
      </c>
    </row>
    <row r="311" spans="1:20" x14ac:dyDescent="0.3">
      <c r="A311" s="1" t="s">
        <v>1614</v>
      </c>
      <c r="B311" s="1" t="s">
        <v>1170</v>
      </c>
      <c r="C311" s="1" t="s">
        <v>58</v>
      </c>
      <c r="D311" s="1" t="s">
        <v>141</v>
      </c>
      <c r="E311" s="1" t="s">
        <v>175</v>
      </c>
      <c r="F311" s="1" t="s">
        <v>72</v>
      </c>
      <c r="G311" s="1">
        <v>39</v>
      </c>
      <c r="H311" s="1" t="s">
        <v>218</v>
      </c>
      <c r="I311" s="1" t="s">
        <v>27</v>
      </c>
      <c r="J311" s="1" t="s">
        <v>1615</v>
      </c>
      <c r="K311" s="1">
        <v>26.9</v>
      </c>
      <c r="L311" s="1">
        <v>453530</v>
      </c>
      <c r="M311" s="1">
        <v>7.38</v>
      </c>
      <c r="N311" s="1">
        <v>3</v>
      </c>
      <c r="O311" s="1" t="s">
        <v>41</v>
      </c>
      <c r="P311" s="1" t="s">
        <v>1616</v>
      </c>
      <c r="Q311" s="1" t="s">
        <v>1617</v>
      </c>
      <c r="R311" s="1">
        <v>29</v>
      </c>
      <c r="S311" s="1">
        <v>59</v>
      </c>
      <c r="T311" s="1" t="s">
        <v>1100</v>
      </c>
    </row>
    <row r="312" spans="1:20" x14ac:dyDescent="0.3">
      <c r="A312" s="1" t="s">
        <v>1618</v>
      </c>
      <c r="B312" s="1" t="s">
        <v>1619</v>
      </c>
      <c r="C312" s="1" t="s">
        <v>82</v>
      </c>
      <c r="D312" s="1" t="s">
        <v>217</v>
      </c>
      <c r="E312" s="1" t="s">
        <v>92</v>
      </c>
      <c r="F312" s="1" t="s">
        <v>61</v>
      </c>
      <c r="G312" s="1">
        <v>53</v>
      </c>
      <c r="H312" s="1" t="s">
        <v>218</v>
      </c>
      <c r="I312" s="1" t="s">
        <v>125</v>
      </c>
      <c r="J312" s="1" t="s">
        <v>1620</v>
      </c>
      <c r="K312" s="1">
        <v>5.8</v>
      </c>
      <c r="L312" s="1">
        <v>1141667</v>
      </c>
      <c r="M312" s="1">
        <v>18.190000000000001</v>
      </c>
      <c r="N312" s="1">
        <v>5</v>
      </c>
      <c r="O312" s="1" t="s">
        <v>258</v>
      </c>
      <c r="P312" s="1" t="s">
        <v>1621</v>
      </c>
      <c r="Q312" s="1" t="s">
        <v>1622</v>
      </c>
      <c r="R312" s="1">
        <v>2</v>
      </c>
      <c r="S312" s="1">
        <v>19</v>
      </c>
      <c r="T312" s="1" t="s">
        <v>938</v>
      </c>
    </row>
    <row r="313" spans="1:20" x14ac:dyDescent="0.3">
      <c r="A313" s="1" t="s">
        <v>1623</v>
      </c>
      <c r="B313" s="1" t="s">
        <v>1624</v>
      </c>
      <c r="C313" s="1" t="s">
        <v>69</v>
      </c>
      <c r="D313" s="1" t="s">
        <v>83</v>
      </c>
      <c r="E313" s="1" t="s">
        <v>290</v>
      </c>
      <c r="F313" s="1" t="s">
        <v>61</v>
      </c>
      <c r="G313" s="1">
        <v>15</v>
      </c>
      <c r="H313" s="1" t="s">
        <v>50</v>
      </c>
      <c r="I313" s="1" t="s">
        <v>118</v>
      </c>
      <c r="J313" s="1" t="s">
        <v>1625</v>
      </c>
      <c r="K313" s="1">
        <v>3.8</v>
      </c>
      <c r="L313" s="1">
        <v>2439917</v>
      </c>
      <c r="M313" s="1">
        <v>11.96</v>
      </c>
      <c r="N313" s="1">
        <v>3</v>
      </c>
      <c r="O313" s="1" t="s">
        <v>41</v>
      </c>
      <c r="P313" s="1" t="s">
        <v>1626</v>
      </c>
      <c r="Q313" s="1" t="s">
        <v>1627</v>
      </c>
      <c r="R313" s="1">
        <v>22</v>
      </c>
      <c r="S313" s="1">
        <v>81</v>
      </c>
      <c r="T313" s="1" t="s">
        <v>697</v>
      </c>
    </row>
    <row r="314" spans="1:20" x14ac:dyDescent="0.3">
      <c r="A314" s="1" t="s">
        <v>1628</v>
      </c>
      <c r="B314" s="1" t="s">
        <v>1629</v>
      </c>
      <c r="C314" s="1" t="s">
        <v>197</v>
      </c>
      <c r="D314" s="1" t="s">
        <v>111</v>
      </c>
      <c r="E314" s="1" t="s">
        <v>24</v>
      </c>
      <c r="F314" s="1" t="s">
        <v>25</v>
      </c>
      <c r="G314" s="1">
        <v>23</v>
      </c>
      <c r="H314" s="1" t="s">
        <v>218</v>
      </c>
      <c r="I314" s="1" t="s">
        <v>27</v>
      </c>
      <c r="J314" s="1" t="s">
        <v>373</v>
      </c>
      <c r="K314" s="1">
        <v>15.9</v>
      </c>
      <c r="L314" s="1">
        <v>1188669</v>
      </c>
      <c r="M314" s="1">
        <v>19.73</v>
      </c>
      <c r="N314" s="1">
        <v>1</v>
      </c>
      <c r="O314" s="1" t="s">
        <v>64</v>
      </c>
      <c r="P314" s="1" t="s">
        <v>1630</v>
      </c>
      <c r="Q314" s="1" t="s">
        <v>1631</v>
      </c>
      <c r="R314" s="1">
        <v>6</v>
      </c>
      <c r="S314" s="1">
        <v>120</v>
      </c>
      <c r="T314" s="1" t="s">
        <v>1274</v>
      </c>
    </row>
    <row r="315" spans="1:20" x14ac:dyDescent="0.3">
      <c r="A315" s="1" t="s">
        <v>1632</v>
      </c>
      <c r="B315" s="1" t="s">
        <v>1633</v>
      </c>
      <c r="C315" s="1" t="s">
        <v>197</v>
      </c>
      <c r="D315" s="1" t="s">
        <v>327</v>
      </c>
      <c r="E315" s="1" t="s">
        <v>189</v>
      </c>
      <c r="F315" s="1" t="s">
        <v>72</v>
      </c>
      <c r="G315" s="1">
        <v>58</v>
      </c>
      <c r="H315" s="1" t="s">
        <v>218</v>
      </c>
      <c r="I315" s="1" t="s">
        <v>27</v>
      </c>
      <c r="J315" s="1" t="s">
        <v>1634</v>
      </c>
      <c r="K315" s="1">
        <v>29.3</v>
      </c>
      <c r="L315" s="1">
        <v>2065869</v>
      </c>
      <c r="M315" s="1">
        <v>14.32</v>
      </c>
      <c r="N315" s="1">
        <v>5</v>
      </c>
      <c r="O315" s="1" t="s">
        <v>135</v>
      </c>
      <c r="P315" s="1" t="s">
        <v>1635</v>
      </c>
      <c r="Q315" s="1" t="s">
        <v>1636</v>
      </c>
      <c r="R315" s="1">
        <v>37</v>
      </c>
      <c r="S315" s="1">
        <v>79</v>
      </c>
      <c r="T315" s="1" t="s">
        <v>543</v>
      </c>
    </row>
    <row r="316" spans="1:20" x14ac:dyDescent="0.3">
      <c r="A316" s="1" t="s">
        <v>1637</v>
      </c>
      <c r="B316" s="1" t="s">
        <v>1638</v>
      </c>
      <c r="C316" s="1" t="s">
        <v>110</v>
      </c>
      <c r="D316" s="1" t="s">
        <v>111</v>
      </c>
      <c r="E316" s="1" t="s">
        <v>168</v>
      </c>
      <c r="F316" s="1" t="s">
        <v>72</v>
      </c>
      <c r="G316" s="1">
        <v>53</v>
      </c>
      <c r="H316" s="1" t="s">
        <v>38</v>
      </c>
      <c r="I316" s="1" t="s">
        <v>39</v>
      </c>
      <c r="J316" s="1" t="s">
        <v>1639</v>
      </c>
      <c r="K316" s="1">
        <v>11.8</v>
      </c>
      <c r="L316" s="1">
        <v>1433714</v>
      </c>
      <c r="M316" s="1">
        <v>4.6100000000000003</v>
      </c>
      <c r="N316" s="1">
        <v>3</v>
      </c>
      <c r="O316" s="1" t="s">
        <v>29</v>
      </c>
      <c r="P316" s="1" t="s">
        <v>1640</v>
      </c>
      <c r="Q316" s="1" t="s">
        <v>1641</v>
      </c>
      <c r="R316" s="1">
        <v>6</v>
      </c>
      <c r="S316" s="1">
        <v>4</v>
      </c>
      <c r="T316" s="1" t="s">
        <v>1071</v>
      </c>
    </row>
    <row r="317" spans="1:20" x14ac:dyDescent="0.3">
      <c r="A317" s="1" t="s">
        <v>431</v>
      </c>
      <c r="B317" s="1" t="s">
        <v>1642</v>
      </c>
      <c r="C317" s="1" t="s">
        <v>82</v>
      </c>
      <c r="D317" s="1" t="s">
        <v>101</v>
      </c>
      <c r="E317" s="1" t="s">
        <v>155</v>
      </c>
      <c r="F317" s="1" t="s">
        <v>37</v>
      </c>
      <c r="G317" s="1">
        <v>51</v>
      </c>
      <c r="H317" s="1" t="s">
        <v>73</v>
      </c>
      <c r="I317" s="1" t="s">
        <v>85</v>
      </c>
      <c r="J317" s="1" t="s">
        <v>1643</v>
      </c>
      <c r="K317" s="1">
        <v>24.9</v>
      </c>
      <c r="L317" s="1">
        <v>1247313</v>
      </c>
      <c r="M317" s="1">
        <v>12.5</v>
      </c>
      <c r="N317" s="1">
        <v>3</v>
      </c>
      <c r="O317" s="1" t="s">
        <v>258</v>
      </c>
      <c r="P317" s="1" t="s">
        <v>1644</v>
      </c>
      <c r="Q317" s="1" t="s">
        <v>1645</v>
      </c>
      <c r="R317" s="1">
        <v>42</v>
      </c>
      <c r="S317" s="1">
        <v>109</v>
      </c>
      <c r="T317" s="1" t="s">
        <v>615</v>
      </c>
    </row>
    <row r="318" spans="1:20" x14ac:dyDescent="0.3">
      <c r="A318" s="1" t="s">
        <v>271</v>
      </c>
      <c r="B318" s="1" t="s">
        <v>1646</v>
      </c>
      <c r="C318" s="1" t="s">
        <v>82</v>
      </c>
      <c r="D318" s="1" t="s">
        <v>327</v>
      </c>
      <c r="E318" s="1" t="s">
        <v>48</v>
      </c>
      <c r="F318" s="1" t="s">
        <v>190</v>
      </c>
      <c r="G318" s="1">
        <v>34</v>
      </c>
      <c r="H318" s="1" t="s">
        <v>50</v>
      </c>
      <c r="I318" s="1" t="s">
        <v>118</v>
      </c>
      <c r="J318" s="1" t="s">
        <v>1647</v>
      </c>
      <c r="K318" s="1">
        <v>7.7</v>
      </c>
      <c r="L318" s="1">
        <v>1893163</v>
      </c>
      <c r="M318" s="1">
        <v>18.010000000000002</v>
      </c>
      <c r="N318" s="1">
        <v>4</v>
      </c>
      <c r="O318" s="1" t="s">
        <v>258</v>
      </c>
      <c r="P318" s="1" t="s">
        <v>1648</v>
      </c>
      <c r="Q318" s="1" t="s">
        <v>1649</v>
      </c>
      <c r="R318" s="1">
        <v>69</v>
      </c>
      <c r="S318" s="1">
        <v>7</v>
      </c>
      <c r="T318" s="1"/>
    </row>
    <row r="319" spans="1:20" x14ac:dyDescent="0.3">
      <c r="A319" s="1" t="s">
        <v>1650</v>
      </c>
      <c r="B319" s="1" t="s">
        <v>1651</v>
      </c>
      <c r="C319" s="1" t="s">
        <v>110</v>
      </c>
      <c r="D319" s="1" t="s">
        <v>182</v>
      </c>
      <c r="E319" s="1" t="s">
        <v>92</v>
      </c>
      <c r="F319" s="1" t="s">
        <v>49</v>
      </c>
      <c r="G319" s="1">
        <v>29</v>
      </c>
      <c r="H319" s="1" t="s">
        <v>103</v>
      </c>
      <c r="I319" s="1" t="s">
        <v>125</v>
      </c>
      <c r="J319" s="1" t="s">
        <v>1652</v>
      </c>
      <c r="K319" s="1">
        <v>23.1</v>
      </c>
      <c r="L319" s="1">
        <v>2465795</v>
      </c>
      <c r="M319" s="1">
        <v>19.989999999999998</v>
      </c>
      <c r="N319" s="1">
        <v>3</v>
      </c>
      <c r="O319" s="1" t="s">
        <v>41</v>
      </c>
      <c r="P319" s="1" t="s">
        <v>1653</v>
      </c>
      <c r="Q319" s="1" t="s">
        <v>1654</v>
      </c>
      <c r="R319" s="1">
        <v>53</v>
      </c>
      <c r="S319" s="1">
        <v>50</v>
      </c>
      <c r="T319" s="1" t="s">
        <v>1317</v>
      </c>
    </row>
    <row r="320" spans="1:20" x14ac:dyDescent="0.3">
      <c r="A320" s="1" t="s">
        <v>1655</v>
      </c>
      <c r="B320" s="1" t="s">
        <v>1656</v>
      </c>
      <c r="C320" s="1" t="s">
        <v>69</v>
      </c>
      <c r="D320" s="1" t="s">
        <v>244</v>
      </c>
      <c r="E320" s="1" t="s">
        <v>155</v>
      </c>
      <c r="F320" s="1" t="s">
        <v>72</v>
      </c>
      <c r="G320" s="1">
        <v>48</v>
      </c>
      <c r="H320" s="1" t="s">
        <v>204</v>
      </c>
      <c r="I320" s="1" t="s">
        <v>118</v>
      </c>
      <c r="J320" s="1" t="s">
        <v>1657</v>
      </c>
      <c r="K320" s="1">
        <v>11.6</v>
      </c>
      <c r="L320" s="1">
        <v>1888435</v>
      </c>
      <c r="M320" s="1">
        <v>2.62</v>
      </c>
      <c r="N320" s="1">
        <v>4</v>
      </c>
      <c r="O320" s="1" t="s">
        <v>41</v>
      </c>
      <c r="P320" s="1" t="s">
        <v>1658</v>
      </c>
      <c r="Q320" s="1" t="s">
        <v>1659</v>
      </c>
      <c r="R320" s="1">
        <v>48</v>
      </c>
      <c r="S320" s="1">
        <v>9</v>
      </c>
      <c r="T320" s="1" t="s">
        <v>696</v>
      </c>
    </row>
    <row r="321" spans="1:20" x14ac:dyDescent="0.3">
      <c r="A321" s="1" t="s">
        <v>288</v>
      </c>
      <c r="B321" s="1" t="s">
        <v>866</v>
      </c>
      <c r="C321" s="1" t="s">
        <v>58</v>
      </c>
      <c r="D321" s="1" t="s">
        <v>59</v>
      </c>
      <c r="E321" s="1" t="s">
        <v>155</v>
      </c>
      <c r="F321" s="1" t="s">
        <v>72</v>
      </c>
      <c r="G321" s="1">
        <v>57</v>
      </c>
      <c r="H321" s="1" t="s">
        <v>204</v>
      </c>
      <c r="I321" s="1" t="s">
        <v>125</v>
      </c>
      <c r="J321" s="1" t="s">
        <v>867</v>
      </c>
      <c r="K321" s="1"/>
      <c r="L321" s="1">
        <v>942261</v>
      </c>
      <c r="M321" s="1">
        <v>15.44</v>
      </c>
      <c r="N321" s="1">
        <v>5</v>
      </c>
      <c r="O321" s="1" t="s">
        <v>41</v>
      </c>
      <c r="P321" s="1" t="s">
        <v>868</v>
      </c>
      <c r="Q321" s="1" t="s">
        <v>869</v>
      </c>
      <c r="R321" s="1">
        <v>13</v>
      </c>
      <c r="S321" s="1">
        <v>77</v>
      </c>
      <c r="T321" s="1" t="s">
        <v>165</v>
      </c>
    </row>
    <row r="322" spans="1:20" x14ac:dyDescent="0.3">
      <c r="A322" s="1" t="s">
        <v>1660</v>
      </c>
      <c r="B322" s="1" t="s">
        <v>1661</v>
      </c>
      <c r="C322" s="1" t="s">
        <v>100</v>
      </c>
      <c r="D322" s="1" t="s">
        <v>47</v>
      </c>
      <c r="E322" s="1" t="s">
        <v>60</v>
      </c>
      <c r="F322" s="1" t="s">
        <v>190</v>
      </c>
      <c r="G322" s="1">
        <v>33</v>
      </c>
      <c r="H322" s="1" t="s">
        <v>142</v>
      </c>
      <c r="I322" s="1" t="s">
        <v>85</v>
      </c>
      <c r="J322" s="1" t="s">
        <v>1662</v>
      </c>
      <c r="K322" s="1">
        <v>22.4</v>
      </c>
      <c r="L322" s="1">
        <v>2475164</v>
      </c>
      <c r="M322" s="1"/>
      <c r="N322" s="1">
        <v>1</v>
      </c>
      <c r="O322" s="1" t="s">
        <v>41</v>
      </c>
      <c r="P322" s="1" t="s">
        <v>1663</v>
      </c>
      <c r="Q322" s="1" t="s">
        <v>1664</v>
      </c>
      <c r="R322" s="1">
        <v>3</v>
      </c>
      <c r="S322" s="1">
        <v>4</v>
      </c>
      <c r="T322" s="1" t="s">
        <v>397</v>
      </c>
    </row>
    <row r="323" spans="1:20" x14ac:dyDescent="0.3">
      <c r="A323" s="1" t="s">
        <v>1665</v>
      </c>
      <c r="B323" s="1" t="s">
        <v>1666</v>
      </c>
      <c r="C323" s="1" t="s">
        <v>100</v>
      </c>
      <c r="D323" s="1" t="s">
        <v>182</v>
      </c>
      <c r="E323" s="1" t="s">
        <v>92</v>
      </c>
      <c r="F323" s="1" t="s">
        <v>190</v>
      </c>
      <c r="G323" s="1">
        <v>-5</v>
      </c>
      <c r="H323" s="1" t="s">
        <v>142</v>
      </c>
      <c r="I323" s="1" t="s">
        <v>27</v>
      </c>
      <c r="J323" s="1" t="s">
        <v>1667</v>
      </c>
      <c r="K323" s="1">
        <v>2.5</v>
      </c>
      <c r="L323" s="1">
        <v>2368002</v>
      </c>
      <c r="M323" s="1">
        <v>14.38</v>
      </c>
      <c r="N323" s="1">
        <v>5</v>
      </c>
      <c r="O323" s="1" t="s">
        <v>258</v>
      </c>
      <c r="P323" s="1" t="s">
        <v>1668</v>
      </c>
      <c r="Q323" s="1" t="s">
        <v>1669</v>
      </c>
      <c r="R323" s="1">
        <v>20</v>
      </c>
      <c r="S323" s="1">
        <v>18</v>
      </c>
      <c r="T323" s="1" t="s">
        <v>1061</v>
      </c>
    </row>
    <row r="324" spans="1:20" x14ac:dyDescent="0.3">
      <c r="A324" s="1" t="s">
        <v>1670</v>
      </c>
      <c r="B324" s="1" t="s">
        <v>1671</v>
      </c>
      <c r="C324" s="1" t="s">
        <v>132</v>
      </c>
      <c r="D324" s="1" t="s">
        <v>244</v>
      </c>
      <c r="E324" s="1" t="s">
        <v>24</v>
      </c>
      <c r="F324" s="1" t="s">
        <v>133</v>
      </c>
      <c r="G324" s="1">
        <v>53</v>
      </c>
      <c r="H324" s="1" t="s">
        <v>142</v>
      </c>
      <c r="I324" s="1" t="s">
        <v>85</v>
      </c>
      <c r="J324" s="1" t="s">
        <v>1672</v>
      </c>
      <c r="K324" s="1"/>
      <c r="L324" s="1">
        <v>1982084</v>
      </c>
      <c r="M324" s="1">
        <v>5.44</v>
      </c>
      <c r="N324" s="1">
        <v>5</v>
      </c>
      <c r="O324" s="1" t="s">
        <v>64</v>
      </c>
      <c r="P324" s="1" t="s">
        <v>1673</v>
      </c>
      <c r="Q324" s="1" t="s">
        <v>1674</v>
      </c>
      <c r="R324" s="1">
        <v>69</v>
      </c>
      <c r="S324" s="1">
        <v>40</v>
      </c>
      <c r="T324" s="1" t="s">
        <v>1670</v>
      </c>
    </row>
    <row r="325" spans="1:20" x14ac:dyDescent="0.3">
      <c r="A325" s="1" t="s">
        <v>294</v>
      </c>
      <c r="B325" s="1" t="s">
        <v>1675</v>
      </c>
      <c r="C325" s="1" t="s">
        <v>255</v>
      </c>
      <c r="D325" s="1" t="s">
        <v>256</v>
      </c>
      <c r="E325" s="1" t="s">
        <v>60</v>
      </c>
      <c r="F325" s="1" t="s">
        <v>133</v>
      </c>
      <c r="G325" s="1">
        <v>27</v>
      </c>
      <c r="H325" s="1" t="s">
        <v>73</v>
      </c>
      <c r="I325" s="1" t="s">
        <v>74</v>
      </c>
      <c r="J325" s="1" t="s">
        <v>1676</v>
      </c>
      <c r="K325" s="1">
        <v>9.4</v>
      </c>
      <c r="L325" s="1">
        <v>1451131</v>
      </c>
      <c r="M325" s="1">
        <v>2.0299999999999998</v>
      </c>
      <c r="N325" s="1">
        <v>5</v>
      </c>
      <c r="O325" s="1" t="s">
        <v>135</v>
      </c>
      <c r="P325" s="1" t="s">
        <v>1677</v>
      </c>
      <c r="Q325" s="1"/>
      <c r="R325" s="1">
        <v>73</v>
      </c>
      <c r="S325" s="1">
        <v>26</v>
      </c>
      <c r="T325" s="1" t="s">
        <v>213</v>
      </c>
    </row>
    <row r="326" spans="1:20" x14ac:dyDescent="0.3">
      <c r="A326" s="1" t="s">
        <v>1678</v>
      </c>
      <c r="B326" s="1" t="s">
        <v>1679</v>
      </c>
      <c r="C326" s="1" t="s">
        <v>100</v>
      </c>
      <c r="D326" s="1" t="s">
        <v>47</v>
      </c>
      <c r="E326" s="1" t="s">
        <v>24</v>
      </c>
      <c r="F326" s="1" t="s">
        <v>72</v>
      </c>
      <c r="G326" s="1">
        <v>47</v>
      </c>
      <c r="H326" s="1" t="s">
        <v>38</v>
      </c>
      <c r="I326" s="1" t="s">
        <v>74</v>
      </c>
      <c r="J326" s="1" t="s">
        <v>1680</v>
      </c>
      <c r="K326" s="1">
        <v>16.600000000000001</v>
      </c>
      <c r="L326" s="1">
        <v>1411509</v>
      </c>
      <c r="M326" s="1">
        <v>3.78</v>
      </c>
      <c r="N326" s="1">
        <v>1</v>
      </c>
      <c r="O326" s="1" t="s">
        <v>258</v>
      </c>
      <c r="P326" s="1" t="s">
        <v>1681</v>
      </c>
      <c r="Q326" s="1" t="s">
        <v>1682</v>
      </c>
      <c r="R326" s="1">
        <v>12</v>
      </c>
      <c r="S326" s="1">
        <v>44</v>
      </c>
      <c r="T326" s="1" t="s">
        <v>1071</v>
      </c>
    </row>
    <row r="327" spans="1:20" x14ac:dyDescent="0.3">
      <c r="A327" s="1" t="s">
        <v>1274</v>
      </c>
      <c r="B327" s="1" t="s">
        <v>1683</v>
      </c>
      <c r="C327" s="1" t="s">
        <v>82</v>
      </c>
      <c r="D327" s="1" t="s">
        <v>101</v>
      </c>
      <c r="E327" s="1" t="s">
        <v>189</v>
      </c>
      <c r="F327" s="1" t="s">
        <v>72</v>
      </c>
      <c r="G327" s="1">
        <v>46</v>
      </c>
      <c r="H327" s="1" t="s">
        <v>62</v>
      </c>
      <c r="I327" s="1" t="s">
        <v>125</v>
      </c>
      <c r="J327" s="1" t="s">
        <v>1684</v>
      </c>
      <c r="K327" s="1">
        <v>18.7</v>
      </c>
      <c r="L327" s="1">
        <v>1529678</v>
      </c>
      <c r="M327" s="1">
        <v>15.89</v>
      </c>
      <c r="N327" s="1">
        <v>4</v>
      </c>
      <c r="O327" s="1" t="s">
        <v>41</v>
      </c>
      <c r="P327" s="1" t="s">
        <v>1685</v>
      </c>
      <c r="Q327" s="1" t="s">
        <v>1686</v>
      </c>
      <c r="R327" s="1">
        <v>47</v>
      </c>
      <c r="S327" s="1">
        <v>85</v>
      </c>
      <c r="T327" s="1" t="s">
        <v>335</v>
      </c>
    </row>
    <row r="328" spans="1:20" x14ac:dyDescent="0.3">
      <c r="A328" s="1" t="s">
        <v>1687</v>
      </c>
      <c r="B328" s="1" t="s">
        <v>1688</v>
      </c>
      <c r="C328" s="1" t="s">
        <v>255</v>
      </c>
      <c r="D328" s="1" t="s">
        <v>23</v>
      </c>
      <c r="E328" s="1" t="s">
        <v>168</v>
      </c>
      <c r="F328" s="1" t="s">
        <v>37</v>
      </c>
      <c r="G328" s="1">
        <v>31</v>
      </c>
      <c r="H328" s="1" t="s">
        <v>50</v>
      </c>
      <c r="I328" s="1" t="s">
        <v>85</v>
      </c>
      <c r="J328" s="1" t="s">
        <v>1689</v>
      </c>
      <c r="K328" s="1">
        <v>8.4</v>
      </c>
      <c r="L328" s="1">
        <v>595941</v>
      </c>
      <c r="M328" s="1">
        <v>24.1</v>
      </c>
      <c r="N328" s="1">
        <v>4</v>
      </c>
      <c r="O328" s="1" t="s">
        <v>29</v>
      </c>
      <c r="P328" s="1" t="s">
        <v>1690</v>
      </c>
      <c r="Q328" s="1" t="s">
        <v>1691</v>
      </c>
      <c r="R328" s="1">
        <v>34</v>
      </c>
      <c r="S328" s="1">
        <v>14</v>
      </c>
      <c r="T328" s="1" t="s">
        <v>107</v>
      </c>
    </row>
    <row r="329" spans="1:20" x14ac:dyDescent="0.3">
      <c r="A329" s="1" t="s">
        <v>457</v>
      </c>
      <c r="B329" s="1" t="s">
        <v>1692</v>
      </c>
      <c r="C329" s="1" t="s">
        <v>100</v>
      </c>
      <c r="D329" s="1" t="s">
        <v>327</v>
      </c>
      <c r="E329" s="1" t="s">
        <v>92</v>
      </c>
      <c r="F329" s="1" t="s">
        <v>25</v>
      </c>
      <c r="G329" s="1">
        <v>47</v>
      </c>
      <c r="H329" s="1" t="s">
        <v>218</v>
      </c>
      <c r="I329" s="1" t="s">
        <v>198</v>
      </c>
      <c r="J329" s="1" t="s">
        <v>1693</v>
      </c>
      <c r="K329" s="1">
        <v>5.2</v>
      </c>
      <c r="L329" s="1">
        <v>606071</v>
      </c>
      <c r="M329" s="1">
        <v>12.87</v>
      </c>
      <c r="N329" s="1">
        <v>3</v>
      </c>
      <c r="O329" s="1" t="s">
        <v>41</v>
      </c>
      <c r="P329" s="1" t="s">
        <v>1694</v>
      </c>
      <c r="Q329" s="1" t="s">
        <v>1695</v>
      </c>
      <c r="R329" s="1">
        <v>30</v>
      </c>
      <c r="S329" s="1">
        <v>34</v>
      </c>
      <c r="T329" s="1" t="s">
        <v>457</v>
      </c>
    </row>
    <row r="330" spans="1:20" x14ac:dyDescent="0.3">
      <c r="A330" s="1" t="s">
        <v>1696</v>
      </c>
      <c r="B330" s="1" t="s">
        <v>1697</v>
      </c>
      <c r="C330" s="1" t="s">
        <v>255</v>
      </c>
      <c r="D330" s="1" t="s">
        <v>217</v>
      </c>
      <c r="E330" s="1" t="s">
        <v>102</v>
      </c>
      <c r="F330" s="1" t="s">
        <v>49</v>
      </c>
      <c r="G330" s="1">
        <v>-5</v>
      </c>
      <c r="H330" s="1" t="s">
        <v>73</v>
      </c>
      <c r="I330" s="1" t="s">
        <v>85</v>
      </c>
      <c r="J330" s="1" t="s">
        <v>1698</v>
      </c>
      <c r="K330" s="1">
        <v>16.7</v>
      </c>
      <c r="L330" s="1">
        <v>-99999</v>
      </c>
      <c r="M330" s="1">
        <v>4.0999999999999996</v>
      </c>
      <c r="N330" s="1" t="s">
        <v>577</v>
      </c>
      <c r="O330" s="1" t="s">
        <v>41</v>
      </c>
      <c r="P330" s="1" t="s">
        <v>1699</v>
      </c>
      <c r="Q330" s="1" t="s">
        <v>1700</v>
      </c>
      <c r="R330" s="1"/>
      <c r="S330" s="1">
        <v>80</v>
      </c>
      <c r="T330" s="1" t="s">
        <v>43</v>
      </c>
    </row>
    <row r="331" spans="1:20" x14ac:dyDescent="0.3">
      <c r="A331" s="1" t="s">
        <v>1701</v>
      </c>
      <c r="B331" s="1" t="s">
        <v>1592</v>
      </c>
      <c r="C331" s="1" t="s">
        <v>216</v>
      </c>
      <c r="D331" s="1" t="s">
        <v>327</v>
      </c>
      <c r="E331" s="1" t="s">
        <v>155</v>
      </c>
      <c r="F331" s="1" t="s">
        <v>133</v>
      </c>
      <c r="G331" s="1">
        <v>51</v>
      </c>
      <c r="H331" s="1" t="s">
        <v>204</v>
      </c>
      <c r="I331" s="1" t="s">
        <v>27</v>
      </c>
      <c r="J331" s="1" t="s">
        <v>1702</v>
      </c>
      <c r="K331" s="1">
        <v>26.3</v>
      </c>
      <c r="L331" s="1">
        <v>2185154</v>
      </c>
      <c r="M331" s="1">
        <v>10.26</v>
      </c>
      <c r="N331" s="1">
        <v>4</v>
      </c>
      <c r="O331" s="1" t="s">
        <v>41</v>
      </c>
      <c r="P331" s="1" t="s">
        <v>1703</v>
      </c>
      <c r="Q331" s="1" t="s">
        <v>1704</v>
      </c>
      <c r="R331" s="1">
        <v>79</v>
      </c>
      <c r="S331" s="1">
        <v>78</v>
      </c>
      <c r="T331" s="1" t="s">
        <v>97</v>
      </c>
    </row>
    <row r="332" spans="1:20" x14ac:dyDescent="0.3">
      <c r="A332" s="1" t="s">
        <v>722</v>
      </c>
      <c r="B332" s="1" t="s">
        <v>1705</v>
      </c>
      <c r="C332" s="1" t="s">
        <v>197</v>
      </c>
      <c r="D332" s="1" t="s">
        <v>111</v>
      </c>
      <c r="E332" s="1" t="s">
        <v>24</v>
      </c>
      <c r="F332" s="1" t="s">
        <v>93</v>
      </c>
      <c r="G332" s="1">
        <v>24</v>
      </c>
      <c r="H332" s="1" t="s">
        <v>38</v>
      </c>
      <c r="I332" s="1" t="s">
        <v>27</v>
      </c>
      <c r="J332" s="1" t="s">
        <v>1706</v>
      </c>
      <c r="K332" s="1">
        <v>23.1</v>
      </c>
      <c r="L332" s="1">
        <v>1054896</v>
      </c>
      <c r="M332" s="1">
        <v>3.32</v>
      </c>
      <c r="N332" s="1">
        <v>3</v>
      </c>
      <c r="O332" s="1" t="s">
        <v>29</v>
      </c>
      <c r="P332" s="1" t="s">
        <v>1707</v>
      </c>
      <c r="Q332" s="1" t="s">
        <v>1708</v>
      </c>
      <c r="R332" s="1">
        <v>15</v>
      </c>
      <c r="S332" s="1">
        <v>68</v>
      </c>
      <c r="T332" s="1" t="s">
        <v>381</v>
      </c>
    </row>
    <row r="333" spans="1:20" x14ac:dyDescent="0.3">
      <c r="A333" s="1" t="s">
        <v>1709</v>
      </c>
      <c r="B333" s="1" t="s">
        <v>1710</v>
      </c>
      <c r="C333" s="1" t="s">
        <v>216</v>
      </c>
      <c r="D333" s="1" t="s">
        <v>23</v>
      </c>
      <c r="E333" s="1" t="s">
        <v>168</v>
      </c>
      <c r="F333" s="1" t="s">
        <v>37</v>
      </c>
      <c r="G333" s="1">
        <v>37</v>
      </c>
      <c r="H333" s="1" t="s">
        <v>218</v>
      </c>
      <c r="I333" s="1" t="s">
        <v>27</v>
      </c>
      <c r="J333" s="1" t="s">
        <v>1711</v>
      </c>
      <c r="K333" s="1">
        <v>12.5</v>
      </c>
      <c r="L333" s="1">
        <v>352105</v>
      </c>
      <c r="M333" s="1">
        <v>0.61</v>
      </c>
      <c r="N333" s="1" t="s">
        <v>577</v>
      </c>
      <c r="O333" s="1" t="s">
        <v>41</v>
      </c>
      <c r="P333" s="1" t="s">
        <v>1712</v>
      </c>
      <c r="Q333" s="1" t="s">
        <v>1713</v>
      </c>
      <c r="R333" s="1">
        <v>17</v>
      </c>
      <c r="S333" s="1">
        <v>51</v>
      </c>
      <c r="T333" s="1" t="s">
        <v>932</v>
      </c>
    </row>
    <row r="334" spans="1:20" x14ac:dyDescent="0.3">
      <c r="A334" s="1" t="s">
        <v>241</v>
      </c>
      <c r="B334" s="1" t="s">
        <v>1714</v>
      </c>
      <c r="C334" s="1" t="s">
        <v>132</v>
      </c>
      <c r="D334" s="1" t="s">
        <v>256</v>
      </c>
      <c r="E334" s="1" t="s">
        <v>102</v>
      </c>
      <c r="F334" s="1" t="s">
        <v>25</v>
      </c>
      <c r="G334" s="1">
        <v>23</v>
      </c>
      <c r="H334" s="1" t="s">
        <v>142</v>
      </c>
      <c r="I334" s="1" t="s">
        <v>125</v>
      </c>
      <c r="J334" s="1" t="s">
        <v>1715</v>
      </c>
      <c r="K334" s="1">
        <v>7.5</v>
      </c>
      <c r="L334" s="1">
        <v>1802577</v>
      </c>
      <c r="M334" s="1">
        <v>2.73</v>
      </c>
      <c r="N334" s="1">
        <v>3</v>
      </c>
      <c r="O334" s="1" t="s">
        <v>41</v>
      </c>
      <c r="P334" s="1" t="s">
        <v>1716</v>
      </c>
      <c r="Q334" s="1" t="s">
        <v>1717</v>
      </c>
      <c r="R334" s="1">
        <v>78</v>
      </c>
      <c r="S334" s="1">
        <v>100</v>
      </c>
      <c r="T334" s="1" t="s">
        <v>194</v>
      </c>
    </row>
    <row r="335" spans="1:20" x14ac:dyDescent="0.3">
      <c r="A335" s="1" t="s">
        <v>932</v>
      </c>
      <c r="B335" s="1" t="s">
        <v>1718</v>
      </c>
      <c r="C335" s="1" t="s">
        <v>100</v>
      </c>
      <c r="D335" s="1" t="s">
        <v>244</v>
      </c>
      <c r="E335" s="1" t="s">
        <v>102</v>
      </c>
      <c r="F335" s="1" t="s">
        <v>61</v>
      </c>
      <c r="G335" s="1">
        <v>27</v>
      </c>
      <c r="H335" s="1" t="s">
        <v>103</v>
      </c>
      <c r="I335" s="1" t="s">
        <v>74</v>
      </c>
      <c r="J335" s="1" t="s">
        <v>1179</v>
      </c>
      <c r="K335" s="1">
        <v>12.8</v>
      </c>
      <c r="L335" s="1">
        <v>796821</v>
      </c>
      <c r="M335" s="1">
        <v>1.51</v>
      </c>
      <c r="N335" s="1">
        <v>4</v>
      </c>
      <c r="O335" s="1" t="s">
        <v>41</v>
      </c>
      <c r="P335" s="1" t="s">
        <v>1719</v>
      </c>
      <c r="Q335" s="1" t="s">
        <v>1720</v>
      </c>
      <c r="R335" s="1">
        <v>12</v>
      </c>
      <c r="S335" s="1">
        <v>26</v>
      </c>
      <c r="T335" s="1" t="s">
        <v>697</v>
      </c>
    </row>
    <row r="336" spans="1:20" x14ac:dyDescent="0.3">
      <c r="A336" s="1" t="s">
        <v>1721</v>
      </c>
      <c r="B336" s="1" t="s">
        <v>823</v>
      </c>
      <c r="C336" s="1" t="s">
        <v>110</v>
      </c>
      <c r="D336" s="1" t="s">
        <v>59</v>
      </c>
      <c r="E336" s="1" t="s">
        <v>189</v>
      </c>
      <c r="F336" s="1" t="s">
        <v>93</v>
      </c>
      <c r="G336" s="1">
        <v>37</v>
      </c>
      <c r="H336" s="1" t="s">
        <v>103</v>
      </c>
      <c r="I336" s="1" t="s">
        <v>74</v>
      </c>
      <c r="J336" s="1" t="s">
        <v>1722</v>
      </c>
      <c r="K336" s="1">
        <v>26.5</v>
      </c>
      <c r="L336" s="1">
        <v>723758</v>
      </c>
      <c r="M336" s="1"/>
      <c r="N336" s="1">
        <v>5</v>
      </c>
      <c r="O336" s="1" t="s">
        <v>41</v>
      </c>
      <c r="P336" s="1" t="s">
        <v>1723</v>
      </c>
      <c r="Q336" s="1" t="s">
        <v>1724</v>
      </c>
      <c r="R336" s="1">
        <v>23</v>
      </c>
      <c r="S336" s="1">
        <v>89</v>
      </c>
      <c r="T336" s="1" t="s">
        <v>97</v>
      </c>
    </row>
    <row r="337" spans="1:20" x14ac:dyDescent="0.3">
      <c r="A337" s="1" t="s">
        <v>1725</v>
      </c>
      <c r="B337" s="1" t="s">
        <v>1726</v>
      </c>
      <c r="C337" s="1" t="s">
        <v>100</v>
      </c>
      <c r="D337" s="1" t="s">
        <v>182</v>
      </c>
      <c r="E337" s="1" t="s">
        <v>290</v>
      </c>
      <c r="F337" s="1" t="s">
        <v>25</v>
      </c>
      <c r="G337" s="1">
        <v>200</v>
      </c>
      <c r="H337" s="1" t="s">
        <v>26</v>
      </c>
      <c r="I337" s="1" t="s">
        <v>39</v>
      </c>
      <c r="J337" s="1" t="s">
        <v>1727</v>
      </c>
      <c r="K337" s="1">
        <v>28.4</v>
      </c>
      <c r="L337" s="1">
        <v>1700612</v>
      </c>
      <c r="M337" s="1">
        <v>6.21</v>
      </c>
      <c r="N337" s="1">
        <v>3</v>
      </c>
      <c r="O337" s="1" t="s">
        <v>258</v>
      </c>
      <c r="P337" s="1" t="s">
        <v>1728</v>
      </c>
      <c r="Q337" s="1" t="s">
        <v>1729</v>
      </c>
      <c r="R337" s="1">
        <v>0</v>
      </c>
      <c r="S337" s="1">
        <v>79</v>
      </c>
      <c r="T337" s="1" t="s">
        <v>288</v>
      </c>
    </row>
    <row r="338" spans="1:20" x14ac:dyDescent="0.3">
      <c r="A338" s="1" t="s">
        <v>559</v>
      </c>
      <c r="B338" s="1" t="s">
        <v>1086</v>
      </c>
      <c r="C338" s="1" t="s">
        <v>58</v>
      </c>
      <c r="D338" s="1" t="s">
        <v>217</v>
      </c>
      <c r="E338" s="1" t="s">
        <v>102</v>
      </c>
      <c r="F338" s="1" t="s">
        <v>72</v>
      </c>
      <c r="G338" s="1">
        <v>200</v>
      </c>
      <c r="H338" s="1" t="s">
        <v>218</v>
      </c>
      <c r="I338" s="1" t="s">
        <v>39</v>
      </c>
      <c r="J338" s="1" t="s">
        <v>1087</v>
      </c>
      <c r="K338" s="1">
        <v>22</v>
      </c>
      <c r="L338" s="1">
        <v>927130</v>
      </c>
      <c r="M338" s="1">
        <v>0.41</v>
      </c>
      <c r="N338" s="1">
        <v>1</v>
      </c>
      <c r="O338" s="1" t="s">
        <v>135</v>
      </c>
      <c r="P338" s="1" t="s">
        <v>1088</v>
      </c>
      <c r="Q338" s="1" t="s">
        <v>1089</v>
      </c>
      <c r="R338" s="1">
        <v>30</v>
      </c>
      <c r="S338" s="1">
        <v>37</v>
      </c>
      <c r="T338" s="1"/>
    </row>
    <row r="339" spans="1:20" x14ac:dyDescent="0.3">
      <c r="A339" s="1" t="s">
        <v>408</v>
      </c>
      <c r="B339" s="1" t="s">
        <v>1730</v>
      </c>
      <c r="C339" s="1" t="s">
        <v>69</v>
      </c>
      <c r="D339" s="1" t="s">
        <v>217</v>
      </c>
      <c r="E339" s="1" t="s">
        <v>175</v>
      </c>
      <c r="F339" s="1" t="s">
        <v>133</v>
      </c>
      <c r="G339" s="1">
        <v>32</v>
      </c>
      <c r="H339" s="1" t="s">
        <v>103</v>
      </c>
      <c r="I339" s="1" t="s">
        <v>118</v>
      </c>
      <c r="J339" s="1" t="s">
        <v>1731</v>
      </c>
      <c r="K339" s="1">
        <v>20.6</v>
      </c>
      <c r="L339" s="1">
        <v>2482470</v>
      </c>
      <c r="M339" s="1">
        <v>16.82</v>
      </c>
      <c r="N339" s="1">
        <v>1</v>
      </c>
      <c r="O339" s="1" t="s">
        <v>64</v>
      </c>
      <c r="P339" s="1" t="s">
        <v>1732</v>
      </c>
      <c r="Q339" s="1" t="s">
        <v>1733</v>
      </c>
      <c r="R339" s="1">
        <v>2</v>
      </c>
      <c r="S339" s="1">
        <v>104</v>
      </c>
      <c r="T339" s="1" t="s">
        <v>32</v>
      </c>
    </row>
    <row r="340" spans="1:20" x14ac:dyDescent="0.3">
      <c r="A340" s="1" t="s">
        <v>1734</v>
      </c>
      <c r="B340" s="1" t="s">
        <v>1735</v>
      </c>
      <c r="C340" s="1" t="s">
        <v>197</v>
      </c>
      <c r="D340" s="1" t="s">
        <v>111</v>
      </c>
      <c r="E340" s="1" t="s">
        <v>175</v>
      </c>
      <c r="F340" s="1" t="s">
        <v>190</v>
      </c>
      <c r="G340" s="1">
        <v>44</v>
      </c>
      <c r="H340" s="1" t="s">
        <v>218</v>
      </c>
      <c r="I340" s="1" t="s">
        <v>118</v>
      </c>
      <c r="J340" s="1" t="s">
        <v>1736</v>
      </c>
      <c r="K340" s="1">
        <v>11.5</v>
      </c>
      <c r="L340" s="1">
        <v>2401745</v>
      </c>
      <c r="M340" s="1">
        <v>7.73</v>
      </c>
      <c r="N340" s="1">
        <v>4</v>
      </c>
      <c r="O340" s="1" t="s">
        <v>29</v>
      </c>
      <c r="P340" s="1" t="s">
        <v>1737</v>
      </c>
      <c r="Q340" s="1" t="s">
        <v>1738</v>
      </c>
      <c r="R340" s="1">
        <v>35</v>
      </c>
      <c r="S340" s="1">
        <v>93</v>
      </c>
      <c r="T340" s="1" t="s">
        <v>737</v>
      </c>
    </row>
    <row r="341" spans="1:20" x14ac:dyDescent="0.3">
      <c r="A341" s="1" t="s">
        <v>510</v>
      </c>
      <c r="B341" s="1" t="s">
        <v>1739</v>
      </c>
      <c r="C341" s="1" t="s">
        <v>216</v>
      </c>
      <c r="D341" s="1" t="s">
        <v>182</v>
      </c>
      <c r="E341" s="1" t="s">
        <v>36</v>
      </c>
      <c r="F341" s="1" t="s">
        <v>190</v>
      </c>
      <c r="G341" s="1">
        <v>24</v>
      </c>
      <c r="H341" s="1" t="s">
        <v>142</v>
      </c>
      <c r="I341" s="1" t="s">
        <v>198</v>
      </c>
      <c r="J341" s="1" t="s">
        <v>1740</v>
      </c>
      <c r="K341" s="1">
        <v>13.5</v>
      </c>
      <c r="L341" s="1">
        <v>760935</v>
      </c>
      <c r="M341" s="1">
        <v>16.559999999999999</v>
      </c>
      <c r="N341" s="1">
        <v>5</v>
      </c>
      <c r="O341" s="1" t="s">
        <v>76</v>
      </c>
      <c r="P341" s="1" t="s">
        <v>1741</v>
      </c>
      <c r="Q341" s="1" t="s">
        <v>1742</v>
      </c>
      <c r="R341" s="1">
        <v>40</v>
      </c>
      <c r="S341" s="1">
        <v>58</v>
      </c>
      <c r="T341" s="1" t="s">
        <v>722</v>
      </c>
    </row>
    <row r="342" spans="1:20" x14ac:dyDescent="0.3">
      <c r="A342" s="1" t="s">
        <v>1743</v>
      </c>
      <c r="B342" s="1" t="s">
        <v>1744</v>
      </c>
      <c r="C342" s="1" t="s">
        <v>35</v>
      </c>
      <c r="D342" s="1" t="s">
        <v>182</v>
      </c>
      <c r="E342" s="1" t="s">
        <v>24</v>
      </c>
      <c r="F342" s="1" t="s">
        <v>37</v>
      </c>
      <c r="G342" s="1">
        <v>32</v>
      </c>
      <c r="H342" s="1" t="s">
        <v>26</v>
      </c>
      <c r="I342" s="1" t="s">
        <v>125</v>
      </c>
      <c r="J342" s="1" t="s">
        <v>52</v>
      </c>
      <c r="K342" s="1">
        <v>16.8</v>
      </c>
      <c r="L342" s="1">
        <v>654775</v>
      </c>
      <c r="M342" s="1">
        <v>10.14</v>
      </c>
      <c r="N342" s="1">
        <v>3</v>
      </c>
      <c r="O342" s="1" t="s">
        <v>64</v>
      </c>
      <c r="P342" s="1" t="s">
        <v>1745</v>
      </c>
      <c r="Q342" s="1" t="s">
        <v>1746</v>
      </c>
      <c r="R342" s="1">
        <v>0</v>
      </c>
      <c r="S342" s="1">
        <v>89</v>
      </c>
      <c r="T342" s="1" t="s">
        <v>722</v>
      </c>
    </row>
    <row r="343" spans="1:20" x14ac:dyDescent="0.3">
      <c r="A343" s="1" t="s">
        <v>1747</v>
      </c>
      <c r="B343" s="1" t="s">
        <v>1318</v>
      </c>
      <c r="C343" s="1" t="s">
        <v>110</v>
      </c>
      <c r="D343" s="1" t="s">
        <v>182</v>
      </c>
      <c r="E343" s="1" t="s">
        <v>290</v>
      </c>
      <c r="F343" s="1" t="s">
        <v>25</v>
      </c>
      <c r="G343" s="1">
        <v>46</v>
      </c>
      <c r="H343" s="1" t="s">
        <v>26</v>
      </c>
      <c r="I343" s="1" t="s">
        <v>198</v>
      </c>
      <c r="J343" s="1" t="s">
        <v>1748</v>
      </c>
      <c r="K343" s="1">
        <v>28.1</v>
      </c>
      <c r="L343" s="1">
        <v>517050</v>
      </c>
      <c r="M343" s="1">
        <v>2.3199999999999998</v>
      </c>
      <c r="N343" s="1">
        <v>4</v>
      </c>
      <c r="O343" s="1" t="s">
        <v>41</v>
      </c>
      <c r="P343" s="1" t="s">
        <v>1749</v>
      </c>
      <c r="Q343" s="1" t="s">
        <v>1750</v>
      </c>
      <c r="R343" s="1">
        <v>46</v>
      </c>
      <c r="S343" s="1">
        <v>26</v>
      </c>
      <c r="T343" s="1" t="s">
        <v>381</v>
      </c>
    </row>
    <row r="344" spans="1:20" x14ac:dyDescent="0.3">
      <c r="A344" s="1" t="s">
        <v>1751</v>
      </c>
      <c r="B344" s="1" t="s">
        <v>1752</v>
      </c>
      <c r="C344" s="1" t="s">
        <v>110</v>
      </c>
      <c r="D344" s="1" t="s">
        <v>231</v>
      </c>
      <c r="E344" s="1" t="s">
        <v>71</v>
      </c>
      <c r="F344" s="1" t="s">
        <v>72</v>
      </c>
      <c r="G344" s="1">
        <v>48</v>
      </c>
      <c r="H344" s="1" t="s">
        <v>84</v>
      </c>
      <c r="I344" s="1" t="s">
        <v>74</v>
      </c>
      <c r="J344" s="1" t="s">
        <v>1753</v>
      </c>
      <c r="K344" s="1">
        <v>10.199999999999999</v>
      </c>
      <c r="L344" s="1">
        <v>2366135</v>
      </c>
      <c r="M344" s="1">
        <v>2.79</v>
      </c>
      <c r="N344" s="1">
        <v>4</v>
      </c>
      <c r="O344" s="1" t="s">
        <v>41</v>
      </c>
      <c r="P344" s="1" t="s">
        <v>1754</v>
      </c>
      <c r="Q344" s="1" t="s">
        <v>1755</v>
      </c>
      <c r="R344" s="1">
        <v>23</v>
      </c>
      <c r="S344" s="1">
        <v>40</v>
      </c>
      <c r="T344" s="1" t="s">
        <v>1100</v>
      </c>
    </row>
    <row r="345" spans="1:20" x14ac:dyDescent="0.3">
      <c r="A345" s="1" t="s">
        <v>1756</v>
      </c>
      <c r="B345" s="1" t="s">
        <v>1757</v>
      </c>
      <c r="C345" s="1" t="s">
        <v>124</v>
      </c>
      <c r="D345" s="1" t="s">
        <v>111</v>
      </c>
      <c r="E345" s="1" t="s">
        <v>189</v>
      </c>
      <c r="F345" s="1" t="s">
        <v>49</v>
      </c>
      <c r="G345" s="1">
        <v>45</v>
      </c>
      <c r="H345" s="1" t="s">
        <v>73</v>
      </c>
      <c r="I345" s="1" t="s">
        <v>118</v>
      </c>
      <c r="J345" s="1" t="s">
        <v>1758</v>
      </c>
      <c r="K345" s="1">
        <v>20.2</v>
      </c>
      <c r="L345" s="1">
        <v>1991030</v>
      </c>
      <c r="M345" s="1">
        <v>4.32</v>
      </c>
      <c r="N345" s="1">
        <v>2</v>
      </c>
      <c r="O345" s="1" t="s">
        <v>76</v>
      </c>
      <c r="P345" s="1" t="s">
        <v>1759</v>
      </c>
      <c r="Q345" s="1" t="s">
        <v>1760</v>
      </c>
      <c r="R345" s="1">
        <v>0</v>
      </c>
      <c r="S345" s="1">
        <v>71</v>
      </c>
      <c r="T345" s="1" t="s">
        <v>568</v>
      </c>
    </row>
    <row r="346" spans="1:20" x14ac:dyDescent="0.3">
      <c r="A346" s="1" t="s">
        <v>1100</v>
      </c>
      <c r="B346" s="1" t="s">
        <v>818</v>
      </c>
      <c r="C346" s="1" t="s">
        <v>46</v>
      </c>
      <c r="D346" s="1" t="s">
        <v>182</v>
      </c>
      <c r="E346" s="1" t="s">
        <v>92</v>
      </c>
      <c r="F346" s="1" t="s">
        <v>61</v>
      </c>
      <c r="G346" s="1">
        <v>40</v>
      </c>
      <c r="H346" s="1" t="s">
        <v>84</v>
      </c>
      <c r="I346" s="1" t="s">
        <v>51</v>
      </c>
      <c r="J346" s="1" t="s">
        <v>1761</v>
      </c>
      <c r="K346" s="1">
        <v>25.8</v>
      </c>
      <c r="L346" s="1">
        <v>1110177</v>
      </c>
      <c r="M346" s="1">
        <v>5.89</v>
      </c>
      <c r="N346" s="1">
        <v>3</v>
      </c>
      <c r="O346" s="1" t="s">
        <v>41</v>
      </c>
      <c r="P346" s="1" t="s">
        <v>1762</v>
      </c>
      <c r="Q346" s="1" t="s">
        <v>1763</v>
      </c>
      <c r="R346" s="1">
        <v>42</v>
      </c>
      <c r="S346" s="1">
        <v>92</v>
      </c>
      <c r="T346" s="1"/>
    </row>
    <row r="347" spans="1:20" x14ac:dyDescent="0.3">
      <c r="A347" s="1" t="s">
        <v>1764</v>
      </c>
      <c r="B347" s="1" t="s">
        <v>1765</v>
      </c>
      <c r="C347" s="1" t="s">
        <v>255</v>
      </c>
      <c r="D347" s="1" t="s">
        <v>182</v>
      </c>
      <c r="E347" s="1" t="s">
        <v>24</v>
      </c>
      <c r="F347" s="1" t="s">
        <v>61</v>
      </c>
      <c r="G347" s="1">
        <v>46</v>
      </c>
      <c r="H347" s="1" t="s">
        <v>142</v>
      </c>
      <c r="I347" s="1" t="s">
        <v>125</v>
      </c>
      <c r="J347" s="1" t="s">
        <v>1766</v>
      </c>
      <c r="K347" s="1">
        <v>4.3</v>
      </c>
      <c r="L347" s="1">
        <v>1470681</v>
      </c>
      <c r="M347" s="1">
        <v>16.55</v>
      </c>
      <c r="N347" s="1" t="s">
        <v>220</v>
      </c>
      <c r="O347" s="1" t="s">
        <v>135</v>
      </c>
      <c r="P347" s="1" t="s">
        <v>1767</v>
      </c>
      <c r="Q347" s="1" t="s">
        <v>1768</v>
      </c>
      <c r="R347" s="1">
        <v>73</v>
      </c>
      <c r="S347" s="1">
        <v>9</v>
      </c>
      <c r="T347" s="1" t="s">
        <v>1055</v>
      </c>
    </row>
    <row r="348" spans="1:20" x14ac:dyDescent="0.3">
      <c r="A348" s="1" t="s">
        <v>599</v>
      </c>
      <c r="B348" s="1" t="s">
        <v>1769</v>
      </c>
      <c r="C348" s="1" t="s">
        <v>69</v>
      </c>
      <c r="D348" s="1" t="s">
        <v>141</v>
      </c>
      <c r="E348" s="1" t="s">
        <v>189</v>
      </c>
      <c r="F348" s="1" t="s">
        <v>190</v>
      </c>
      <c r="G348" s="1">
        <v>35</v>
      </c>
      <c r="H348" s="1" t="s">
        <v>50</v>
      </c>
      <c r="I348" s="1" t="s">
        <v>125</v>
      </c>
      <c r="J348" s="1" t="s">
        <v>1770</v>
      </c>
      <c r="K348" s="1">
        <v>28.9</v>
      </c>
      <c r="L348" s="1">
        <v>1298947</v>
      </c>
      <c r="M348" s="1">
        <v>18.7</v>
      </c>
      <c r="N348" s="1">
        <v>4</v>
      </c>
      <c r="O348" s="1" t="s">
        <v>64</v>
      </c>
      <c r="P348" s="1" t="s">
        <v>1771</v>
      </c>
      <c r="Q348" s="1" t="s">
        <v>1772</v>
      </c>
      <c r="R348" s="1">
        <v>64</v>
      </c>
      <c r="S348" s="1">
        <v>104</v>
      </c>
      <c r="T348" s="1" t="s">
        <v>381</v>
      </c>
    </row>
    <row r="349" spans="1:20" x14ac:dyDescent="0.3">
      <c r="A349" s="1" t="s">
        <v>1773</v>
      </c>
      <c r="B349" s="1" t="s">
        <v>1774</v>
      </c>
      <c r="C349" s="1" t="s">
        <v>216</v>
      </c>
      <c r="D349" s="1" t="s">
        <v>256</v>
      </c>
      <c r="E349" s="1" t="s">
        <v>48</v>
      </c>
      <c r="F349" s="1" t="s">
        <v>72</v>
      </c>
      <c r="G349" s="1">
        <v>15</v>
      </c>
      <c r="H349" s="1" t="s">
        <v>26</v>
      </c>
      <c r="I349" s="1" t="s">
        <v>118</v>
      </c>
      <c r="J349" s="1" t="s">
        <v>1775</v>
      </c>
      <c r="K349" s="1">
        <v>16.899999999999999</v>
      </c>
      <c r="L349" s="1">
        <v>2055843</v>
      </c>
      <c r="M349" s="1">
        <v>22.61</v>
      </c>
      <c r="N349" s="1"/>
      <c r="O349" s="1" t="s">
        <v>41</v>
      </c>
      <c r="P349" s="1" t="s">
        <v>1776</v>
      </c>
      <c r="Q349" s="1" t="s">
        <v>1777</v>
      </c>
      <c r="R349" s="1">
        <v>51</v>
      </c>
      <c r="S349" s="1">
        <v>30</v>
      </c>
      <c r="T349" s="1" t="s">
        <v>479</v>
      </c>
    </row>
    <row r="350" spans="1:20" x14ac:dyDescent="0.3">
      <c r="A350" s="1" t="s">
        <v>1778</v>
      </c>
      <c r="B350" s="1" t="s">
        <v>1582</v>
      </c>
      <c r="C350" s="1" t="s">
        <v>35</v>
      </c>
      <c r="D350" s="1" t="s">
        <v>256</v>
      </c>
      <c r="E350" s="1" t="s">
        <v>24</v>
      </c>
      <c r="F350" s="1" t="s">
        <v>37</v>
      </c>
      <c r="G350" s="1">
        <v>36</v>
      </c>
      <c r="H350" s="1" t="s">
        <v>84</v>
      </c>
      <c r="I350" s="1" t="s">
        <v>85</v>
      </c>
      <c r="J350" s="1" t="s">
        <v>1779</v>
      </c>
      <c r="K350" s="1">
        <v>19</v>
      </c>
      <c r="L350" s="1">
        <v>633077</v>
      </c>
      <c r="M350" s="1">
        <v>1.53</v>
      </c>
      <c r="N350" s="1">
        <v>5</v>
      </c>
      <c r="O350" s="1" t="s">
        <v>258</v>
      </c>
      <c r="P350" s="1" t="s">
        <v>1780</v>
      </c>
      <c r="Q350" s="1" t="s">
        <v>1781</v>
      </c>
      <c r="R350" s="1">
        <v>0</v>
      </c>
      <c r="S350" s="1">
        <v>25</v>
      </c>
      <c r="T350" s="1" t="s">
        <v>1280</v>
      </c>
    </row>
    <row r="351" spans="1:20" x14ac:dyDescent="0.3">
      <c r="A351" s="1" t="s">
        <v>1782</v>
      </c>
      <c r="B351" s="1" t="s">
        <v>1783</v>
      </c>
      <c r="C351" s="1" t="s">
        <v>230</v>
      </c>
      <c r="D351" s="1" t="s">
        <v>231</v>
      </c>
      <c r="E351" s="1" t="s">
        <v>102</v>
      </c>
      <c r="F351" s="1" t="s">
        <v>72</v>
      </c>
      <c r="G351" s="1">
        <v>53</v>
      </c>
      <c r="H351" s="1" t="s">
        <v>73</v>
      </c>
      <c r="I351" s="1" t="s">
        <v>125</v>
      </c>
      <c r="J351" s="1" t="s">
        <v>1784</v>
      </c>
      <c r="K351" s="1">
        <v>2.4</v>
      </c>
      <c r="L351" s="1">
        <v>2468445</v>
      </c>
      <c r="M351" s="1">
        <v>4.8</v>
      </c>
      <c r="N351" s="1">
        <v>4</v>
      </c>
      <c r="O351" s="1" t="s">
        <v>41</v>
      </c>
      <c r="P351" s="1" t="s">
        <v>1785</v>
      </c>
      <c r="Q351" s="1" t="s">
        <v>1786</v>
      </c>
      <c r="R351" s="1">
        <v>52</v>
      </c>
      <c r="S351" s="1">
        <v>76</v>
      </c>
      <c r="T351" s="1" t="s">
        <v>797</v>
      </c>
    </row>
    <row r="352" spans="1:20" x14ac:dyDescent="0.3">
      <c r="A352" s="1" t="s">
        <v>32</v>
      </c>
      <c r="B352" s="1" t="s">
        <v>1787</v>
      </c>
      <c r="C352" s="1" t="s">
        <v>82</v>
      </c>
      <c r="D352" s="1" t="s">
        <v>83</v>
      </c>
      <c r="E352" s="1" t="s">
        <v>290</v>
      </c>
      <c r="F352" s="1" t="s">
        <v>61</v>
      </c>
      <c r="G352" s="1">
        <v>49</v>
      </c>
      <c r="H352" s="1" t="s">
        <v>38</v>
      </c>
      <c r="I352" s="1" t="s">
        <v>125</v>
      </c>
      <c r="J352" s="1" t="s">
        <v>1252</v>
      </c>
      <c r="K352" s="1"/>
      <c r="L352" s="1">
        <v>692986</v>
      </c>
      <c r="M352" s="1">
        <v>3.99</v>
      </c>
      <c r="N352" s="1">
        <v>3</v>
      </c>
      <c r="O352" s="1" t="s">
        <v>135</v>
      </c>
      <c r="P352" s="1" t="s">
        <v>1788</v>
      </c>
      <c r="Q352" s="1" t="s">
        <v>1789</v>
      </c>
      <c r="R352" s="1">
        <v>35</v>
      </c>
      <c r="S352" s="1">
        <v>97</v>
      </c>
      <c r="T352" s="1" t="s">
        <v>366</v>
      </c>
    </row>
    <row r="353" spans="1:20" x14ac:dyDescent="0.3">
      <c r="A353" s="1" t="s">
        <v>1790</v>
      </c>
      <c r="B353" s="1" t="s">
        <v>1791</v>
      </c>
      <c r="C353" s="1" t="s">
        <v>216</v>
      </c>
      <c r="D353" s="1" t="s">
        <v>47</v>
      </c>
      <c r="E353" s="1" t="s">
        <v>189</v>
      </c>
      <c r="F353" s="1" t="s">
        <v>61</v>
      </c>
      <c r="G353" s="1">
        <v>41</v>
      </c>
      <c r="H353" s="1" t="s">
        <v>62</v>
      </c>
      <c r="I353" s="1" t="s">
        <v>125</v>
      </c>
      <c r="J353" s="1" t="s">
        <v>1792</v>
      </c>
      <c r="K353" s="1">
        <v>21.9</v>
      </c>
      <c r="L353" s="1">
        <v>815802</v>
      </c>
      <c r="M353" s="1">
        <v>6.83</v>
      </c>
      <c r="N353" s="1">
        <v>3</v>
      </c>
      <c r="O353" s="1" t="s">
        <v>41</v>
      </c>
      <c r="P353" s="1" t="s">
        <v>1793</v>
      </c>
      <c r="Q353" s="1" t="s">
        <v>1794</v>
      </c>
      <c r="R353" s="1">
        <v>41</v>
      </c>
      <c r="S353" s="1">
        <v>58</v>
      </c>
      <c r="T353" s="1" t="s">
        <v>712</v>
      </c>
    </row>
    <row r="354" spans="1:20" x14ac:dyDescent="0.3">
      <c r="A354" s="1" t="s">
        <v>288</v>
      </c>
      <c r="B354" s="1" t="s">
        <v>1067</v>
      </c>
      <c r="C354" s="1" t="s">
        <v>132</v>
      </c>
      <c r="D354" s="1" t="s">
        <v>244</v>
      </c>
      <c r="E354" s="1" t="s">
        <v>71</v>
      </c>
      <c r="F354" s="1" t="s">
        <v>93</v>
      </c>
      <c r="G354" s="1">
        <v>27</v>
      </c>
      <c r="H354" s="1" t="s">
        <v>142</v>
      </c>
      <c r="I354" s="1" t="s">
        <v>198</v>
      </c>
      <c r="J354" s="1" t="s">
        <v>1068</v>
      </c>
      <c r="K354" s="1">
        <v>0.8</v>
      </c>
      <c r="L354" s="1">
        <v>356610</v>
      </c>
      <c r="M354" s="1">
        <v>11.97</v>
      </c>
      <c r="N354" s="1">
        <v>2</v>
      </c>
      <c r="O354" s="1" t="s">
        <v>258</v>
      </c>
      <c r="P354" s="1" t="s">
        <v>1069</v>
      </c>
      <c r="Q354" s="1" t="s">
        <v>1070</v>
      </c>
      <c r="R354" s="1">
        <v>69</v>
      </c>
      <c r="S354" s="1">
        <v>80</v>
      </c>
      <c r="T354" s="1" t="s">
        <v>1071</v>
      </c>
    </row>
    <row r="355" spans="1:20" x14ac:dyDescent="0.3">
      <c r="A355" s="1" t="s">
        <v>1795</v>
      </c>
      <c r="B355" s="1" t="s">
        <v>1796</v>
      </c>
      <c r="C355" s="1" t="s">
        <v>22</v>
      </c>
      <c r="D355" s="1" t="s">
        <v>70</v>
      </c>
      <c r="E355" s="1" t="s">
        <v>155</v>
      </c>
      <c r="F355" s="1" t="s">
        <v>25</v>
      </c>
      <c r="G355" s="1">
        <v>46</v>
      </c>
      <c r="H355" s="1" t="s">
        <v>73</v>
      </c>
      <c r="I355" s="1" t="s">
        <v>125</v>
      </c>
      <c r="J355" s="1" t="s">
        <v>1797</v>
      </c>
      <c r="K355" s="1">
        <v>19.2</v>
      </c>
      <c r="L355" s="1">
        <v>1780234</v>
      </c>
      <c r="M355" s="1">
        <v>8.07</v>
      </c>
      <c r="N355" s="1">
        <v>3</v>
      </c>
      <c r="O355" s="1" t="s">
        <v>64</v>
      </c>
      <c r="P355" s="1" t="s">
        <v>1798</v>
      </c>
      <c r="Q355" s="1" t="s">
        <v>1799</v>
      </c>
      <c r="R355" s="1">
        <v>45</v>
      </c>
      <c r="S355" s="1">
        <v>27</v>
      </c>
      <c r="T355" s="1" t="s">
        <v>194</v>
      </c>
    </row>
    <row r="356" spans="1:20" x14ac:dyDescent="0.3">
      <c r="A356" s="1" t="s">
        <v>1800</v>
      </c>
      <c r="B356" s="1" t="s">
        <v>1801</v>
      </c>
      <c r="C356" s="1" t="s">
        <v>255</v>
      </c>
      <c r="D356" s="1" t="s">
        <v>23</v>
      </c>
      <c r="E356" s="1" t="s">
        <v>175</v>
      </c>
      <c r="F356" s="1" t="s">
        <v>190</v>
      </c>
      <c r="G356" s="1">
        <v>36</v>
      </c>
      <c r="H356" s="1" t="s">
        <v>38</v>
      </c>
      <c r="I356" s="1" t="s">
        <v>51</v>
      </c>
      <c r="J356" s="1" t="s">
        <v>1802</v>
      </c>
      <c r="K356" s="1">
        <v>9.1999999999999993</v>
      </c>
      <c r="L356" s="1">
        <v>1692020</v>
      </c>
      <c r="M356" s="1">
        <v>15.53</v>
      </c>
      <c r="N356" s="1">
        <v>1</v>
      </c>
      <c r="O356" s="1" t="s">
        <v>41</v>
      </c>
      <c r="P356" s="1" t="s">
        <v>1803</v>
      </c>
      <c r="Q356" s="1" t="s">
        <v>1804</v>
      </c>
      <c r="R356" s="1">
        <v>41</v>
      </c>
      <c r="S356" s="1">
        <v>101</v>
      </c>
      <c r="T356" s="1" t="s">
        <v>166</v>
      </c>
    </row>
    <row r="357" spans="1:20" x14ac:dyDescent="0.3">
      <c r="A357" s="1" t="s">
        <v>1805</v>
      </c>
      <c r="B357" s="1" t="s">
        <v>1806</v>
      </c>
      <c r="C357" s="1" t="s">
        <v>35</v>
      </c>
      <c r="D357" s="1" t="s">
        <v>70</v>
      </c>
      <c r="E357" s="1" t="s">
        <v>189</v>
      </c>
      <c r="F357" s="1" t="s">
        <v>72</v>
      </c>
      <c r="G357" s="1">
        <v>57</v>
      </c>
      <c r="H357" s="1" t="s">
        <v>38</v>
      </c>
      <c r="I357" s="1" t="s">
        <v>51</v>
      </c>
      <c r="J357" s="1" t="s">
        <v>1807</v>
      </c>
      <c r="K357" s="1">
        <v>29.8</v>
      </c>
      <c r="L357" s="1">
        <v>1930781</v>
      </c>
      <c r="M357" s="1">
        <v>13.57</v>
      </c>
      <c r="N357" s="1">
        <v>1</v>
      </c>
      <c r="O357" s="1" t="s">
        <v>41</v>
      </c>
      <c r="P357" s="1" t="s">
        <v>1808</v>
      </c>
      <c r="Q357" s="1" t="s">
        <v>1809</v>
      </c>
      <c r="R357" s="1">
        <v>6</v>
      </c>
      <c r="S357" s="1">
        <v>6</v>
      </c>
      <c r="T357" s="1" t="s">
        <v>767</v>
      </c>
    </row>
    <row r="358" spans="1:20" x14ac:dyDescent="0.3">
      <c r="A358" s="1" t="s">
        <v>1810</v>
      </c>
      <c r="B358" s="1" t="s">
        <v>1811</v>
      </c>
      <c r="C358" s="1" t="s">
        <v>124</v>
      </c>
      <c r="D358" s="1" t="s">
        <v>231</v>
      </c>
      <c r="E358" s="1" t="s">
        <v>189</v>
      </c>
      <c r="F358" s="1" t="s">
        <v>72</v>
      </c>
      <c r="G358" s="1">
        <v>42</v>
      </c>
      <c r="H358" s="1" t="s">
        <v>84</v>
      </c>
      <c r="I358" s="1" t="s">
        <v>27</v>
      </c>
      <c r="J358" s="1" t="s">
        <v>1812</v>
      </c>
      <c r="K358" s="1">
        <v>25.9</v>
      </c>
      <c r="L358" s="1">
        <v>1372828</v>
      </c>
      <c r="M358" s="1">
        <v>2.17</v>
      </c>
      <c r="N358" s="1">
        <v>5</v>
      </c>
      <c r="O358" s="1" t="s">
        <v>258</v>
      </c>
      <c r="P358" s="1" t="s">
        <v>1813</v>
      </c>
      <c r="Q358" s="1" t="s">
        <v>1814</v>
      </c>
      <c r="R358" s="1">
        <v>11</v>
      </c>
      <c r="S358" s="1">
        <v>92</v>
      </c>
      <c r="T358" s="1" t="s">
        <v>479</v>
      </c>
    </row>
    <row r="359" spans="1:20" x14ac:dyDescent="0.3">
      <c r="A359" s="1" t="s">
        <v>1815</v>
      </c>
      <c r="B359" s="1" t="s">
        <v>1816</v>
      </c>
      <c r="C359" s="1" t="s">
        <v>132</v>
      </c>
      <c r="D359" s="1" t="s">
        <v>23</v>
      </c>
      <c r="E359" s="1" t="s">
        <v>71</v>
      </c>
      <c r="F359" s="1" t="s">
        <v>72</v>
      </c>
      <c r="G359" s="1">
        <v>58</v>
      </c>
      <c r="H359" s="1" t="s">
        <v>62</v>
      </c>
      <c r="I359" s="1" t="s">
        <v>74</v>
      </c>
      <c r="J359" s="1" t="s">
        <v>1817</v>
      </c>
      <c r="K359" s="1">
        <v>5.0999999999999996</v>
      </c>
      <c r="L359" s="1">
        <v>1253427</v>
      </c>
      <c r="M359" s="1">
        <v>15.13</v>
      </c>
      <c r="N359" s="1">
        <v>3</v>
      </c>
      <c r="O359" s="1" t="s">
        <v>41</v>
      </c>
      <c r="P359" s="1" t="s">
        <v>1818</v>
      </c>
      <c r="Q359" s="1" t="s">
        <v>1819</v>
      </c>
      <c r="R359" s="1">
        <v>59</v>
      </c>
      <c r="S359" s="1">
        <v>83</v>
      </c>
      <c r="T359" s="1" t="s">
        <v>152</v>
      </c>
    </row>
    <row r="360" spans="1:20" x14ac:dyDescent="0.3">
      <c r="A360" s="1" t="s">
        <v>1820</v>
      </c>
      <c r="B360" s="1" t="s">
        <v>1821</v>
      </c>
      <c r="C360" s="1" t="s">
        <v>82</v>
      </c>
      <c r="D360" s="1" t="s">
        <v>182</v>
      </c>
      <c r="E360" s="1" t="s">
        <v>60</v>
      </c>
      <c r="F360" s="1" t="s">
        <v>61</v>
      </c>
      <c r="G360" s="1">
        <v>29</v>
      </c>
      <c r="H360" s="1" t="s">
        <v>142</v>
      </c>
      <c r="I360" s="1" t="s">
        <v>51</v>
      </c>
      <c r="J360" s="1" t="s">
        <v>1822</v>
      </c>
      <c r="K360" s="1">
        <v>28.3</v>
      </c>
      <c r="L360" s="1">
        <v>2314817</v>
      </c>
      <c r="M360" s="1">
        <v>6.67</v>
      </c>
      <c r="N360" s="1">
        <v>3</v>
      </c>
      <c r="O360" s="1" t="s">
        <v>64</v>
      </c>
      <c r="P360" s="1"/>
      <c r="Q360" s="1" t="s">
        <v>1823</v>
      </c>
      <c r="R360" s="1">
        <v>36</v>
      </c>
      <c r="S360" s="1">
        <v>18</v>
      </c>
      <c r="T360" s="1" t="s">
        <v>1670</v>
      </c>
    </row>
    <row r="361" spans="1:20" x14ac:dyDescent="0.3">
      <c r="A361" s="1" t="s">
        <v>1824</v>
      </c>
      <c r="B361" s="1" t="s">
        <v>1825</v>
      </c>
      <c r="C361" s="1" t="s">
        <v>58</v>
      </c>
      <c r="D361" s="1" t="s">
        <v>256</v>
      </c>
      <c r="E361" s="1" t="s">
        <v>36</v>
      </c>
      <c r="F361" s="1" t="s">
        <v>133</v>
      </c>
      <c r="G361" s="1"/>
      <c r="H361" s="1" t="s">
        <v>26</v>
      </c>
      <c r="I361" s="1" t="s">
        <v>118</v>
      </c>
      <c r="J361" s="1" t="s">
        <v>1826</v>
      </c>
      <c r="K361" s="1">
        <v>3.3</v>
      </c>
      <c r="L361" s="1">
        <v>801219</v>
      </c>
      <c r="M361" s="1">
        <v>17.68</v>
      </c>
      <c r="N361" s="1">
        <v>3</v>
      </c>
      <c r="O361" s="1" t="s">
        <v>41</v>
      </c>
      <c r="P361" s="1" t="s">
        <v>1827</v>
      </c>
      <c r="Q361" s="1" t="s">
        <v>1828</v>
      </c>
      <c r="R361" s="1">
        <v>63</v>
      </c>
      <c r="S361" s="1">
        <v>33</v>
      </c>
      <c r="T361" s="1" t="s">
        <v>159</v>
      </c>
    </row>
    <row r="362" spans="1:20" x14ac:dyDescent="0.3">
      <c r="A362" s="1" t="s">
        <v>1829</v>
      </c>
      <c r="B362" s="1" t="s">
        <v>1830</v>
      </c>
      <c r="C362" s="1" t="s">
        <v>132</v>
      </c>
      <c r="D362" s="1" t="s">
        <v>231</v>
      </c>
      <c r="E362" s="1" t="s">
        <v>60</v>
      </c>
      <c r="F362" s="1" t="s">
        <v>61</v>
      </c>
      <c r="G362" s="1">
        <v>27</v>
      </c>
      <c r="H362" s="1" t="s">
        <v>38</v>
      </c>
      <c r="I362" s="1" t="s">
        <v>125</v>
      </c>
      <c r="J362" s="1" t="s">
        <v>1831</v>
      </c>
      <c r="K362" s="1">
        <v>23</v>
      </c>
      <c r="L362" s="1">
        <v>2366386</v>
      </c>
      <c r="M362" s="1">
        <v>7.01</v>
      </c>
      <c r="N362" s="1">
        <v>4</v>
      </c>
      <c r="O362" s="1" t="s">
        <v>135</v>
      </c>
      <c r="P362" s="1" t="s">
        <v>1832</v>
      </c>
      <c r="Q362" s="1" t="s">
        <v>1833</v>
      </c>
      <c r="R362" s="1">
        <v>73</v>
      </c>
      <c r="S362" s="1">
        <v>67</v>
      </c>
      <c r="T362" s="1" t="s">
        <v>797</v>
      </c>
    </row>
    <row r="363" spans="1:20" x14ac:dyDescent="0.3">
      <c r="A363" s="1" t="s">
        <v>1834</v>
      </c>
      <c r="B363" s="1" t="s">
        <v>589</v>
      </c>
      <c r="C363" s="1" t="s">
        <v>230</v>
      </c>
      <c r="D363" s="1" t="s">
        <v>327</v>
      </c>
      <c r="E363" s="1" t="s">
        <v>175</v>
      </c>
      <c r="F363" s="1" t="s">
        <v>190</v>
      </c>
      <c r="G363" s="1">
        <v>200</v>
      </c>
      <c r="H363" s="1" t="s">
        <v>218</v>
      </c>
      <c r="I363" s="1" t="s">
        <v>118</v>
      </c>
      <c r="J363" s="1" t="s">
        <v>1297</v>
      </c>
      <c r="K363" s="1">
        <v>17.2</v>
      </c>
      <c r="L363" s="1">
        <v>830027</v>
      </c>
      <c r="M363" s="1">
        <v>12.56</v>
      </c>
      <c r="N363" s="1">
        <v>4</v>
      </c>
      <c r="O363" s="1" t="s">
        <v>29</v>
      </c>
      <c r="P363" s="1" t="s">
        <v>1835</v>
      </c>
      <c r="Q363" s="1" t="s">
        <v>1836</v>
      </c>
      <c r="R363" s="1">
        <v>54</v>
      </c>
      <c r="S363" s="1">
        <v>91</v>
      </c>
      <c r="T363" s="1" t="s">
        <v>594</v>
      </c>
    </row>
    <row r="364" spans="1:20" x14ac:dyDescent="0.3">
      <c r="A364" s="1" t="s">
        <v>1837</v>
      </c>
      <c r="B364" s="1" t="s">
        <v>1838</v>
      </c>
      <c r="C364" s="1" t="s">
        <v>197</v>
      </c>
      <c r="D364" s="1" t="s">
        <v>217</v>
      </c>
      <c r="E364" s="1" t="s">
        <v>168</v>
      </c>
      <c r="F364" s="1" t="s">
        <v>37</v>
      </c>
      <c r="G364" s="1">
        <v>55</v>
      </c>
      <c r="H364" s="1" t="s">
        <v>142</v>
      </c>
      <c r="I364" s="1" t="s">
        <v>125</v>
      </c>
      <c r="J364" s="1" t="s">
        <v>1839</v>
      </c>
      <c r="K364" s="1">
        <v>14.5</v>
      </c>
      <c r="L364" s="1">
        <v>788610</v>
      </c>
      <c r="M364" s="1">
        <v>21.47</v>
      </c>
      <c r="N364" s="1">
        <v>5</v>
      </c>
      <c r="O364" s="1" t="s">
        <v>41</v>
      </c>
      <c r="P364" s="1" t="s">
        <v>1840</v>
      </c>
      <c r="Q364" s="1" t="s">
        <v>1841</v>
      </c>
      <c r="R364" s="1">
        <v>38</v>
      </c>
      <c r="S364" s="1">
        <v>17</v>
      </c>
      <c r="T364" s="1" t="s">
        <v>172</v>
      </c>
    </row>
    <row r="365" spans="1:20" x14ac:dyDescent="0.3">
      <c r="A365" s="1" t="s">
        <v>1842</v>
      </c>
      <c r="B365" s="1" t="s">
        <v>1843</v>
      </c>
      <c r="C365" s="1" t="s">
        <v>110</v>
      </c>
      <c r="D365" s="1" t="s">
        <v>101</v>
      </c>
      <c r="E365" s="1" t="s">
        <v>48</v>
      </c>
      <c r="F365" s="1" t="s">
        <v>49</v>
      </c>
      <c r="G365" s="1">
        <v>34</v>
      </c>
      <c r="H365" s="1" t="s">
        <v>103</v>
      </c>
      <c r="I365" s="1" t="s">
        <v>118</v>
      </c>
      <c r="J365" s="1" t="s">
        <v>1416</v>
      </c>
      <c r="K365" s="1">
        <v>3.5</v>
      </c>
      <c r="L365" s="1">
        <v>1164631</v>
      </c>
      <c r="M365" s="1">
        <v>7.57</v>
      </c>
      <c r="N365" s="1">
        <v>3</v>
      </c>
      <c r="O365" s="1" t="s">
        <v>41</v>
      </c>
      <c r="P365" s="1" t="s">
        <v>1844</v>
      </c>
      <c r="Q365" s="1" t="s">
        <v>1845</v>
      </c>
      <c r="R365" s="1">
        <v>34</v>
      </c>
      <c r="S365" s="1">
        <v>117</v>
      </c>
      <c r="T365" s="1" t="s">
        <v>201</v>
      </c>
    </row>
    <row r="366" spans="1:20" x14ac:dyDescent="0.3">
      <c r="A366" s="1" t="s">
        <v>1846</v>
      </c>
      <c r="B366" s="1" t="s">
        <v>900</v>
      </c>
      <c r="C366" s="1" t="s">
        <v>58</v>
      </c>
      <c r="D366" s="1" t="s">
        <v>101</v>
      </c>
      <c r="E366" s="1" t="s">
        <v>24</v>
      </c>
      <c r="F366" s="1" t="s">
        <v>133</v>
      </c>
      <c r="G366" s="1">
        <v>36</v>
      </c>
      <c r="H366" s="1" t="s">
        <v>142</v>
      </c>
      <c r="I366" s="1" t="s">
        <v>51</v>
      </c>
      <c r="J366" s="1" t="s">
        <v>1847</v>
      </c>
      <c r="K366" s="1">
        <v>15.4</v>
      </c>
      <c r="L366" s="1">
        <v>1544531</v>
      </c>
      <c r="M366" s="1">
        <v>12.35</v>
      </c>
      <c r="N366" s="1">
        <v>4</v>
      </c>
      <c r="O366" s="1" t="s">
        <v>41</v>
      </c>
      <c r="P366" s="1" t="s">
        <v>1848</v>
      </c>
      <c r="Q366" s="1" t="s">
        <v>903</v>
      </c>
      <c r="R366" s="1">
        <v>7</v>
      </c>
      <c r="S366" s="1">
        <v>104</v>
      </c>
      <c r="T366" s="1" t="s">
        <v>115</v>
      </c>
    </row>
    <row r="367" spans="1:20" x14ac:dyDescent="0.3">
      <c r="A367" s="1" t="s">
        <v>1071</v>
      </c>
      <c r="B367" s="1" t="s">
        <v>1091</v>
      </c>
      <c r="C367" s="1" t="s">
        <v>82</v>
      </c>
      <c r="D367" s="1" t="s">
        <v>70</v>
      </c>
      <c r="E367" s="1" t="s">
        <v>71</v>
      </c>
      <c r="F367" s="1" t="s">
        <v>190</v>
      </c>
      <c r="G367" s="1">
        <v>36</v>
      </c>
      <c r="H367" s="1" t="s">
        <v>62</v>
      </c>
      <c r="I367" s="1" t="s">
        <v>85</v>
      </c>
      <c r="J367" s="1" t="s">
        <v>1849</v>
      </c>
      <c r="K367" s="1">
        <v>6.1</v>
      </c>
      <c r="L367" s="1">
        <v>1751899</v>
      </c>
      <c r="M367" s="1">
        <v>11.16</v>
      </c>
      <c r="N367" s="1">
        <v>3</v>
      </c>
      <c r="O367" s="1" t="s">
        <v>76</v>
      </c>
      <c r="P367" s="1" t="s">
        <v>1850</v>
      </c>
      <c r="Q367" s="1" t="s">
        <v>1851</v>
      </c>
      <c r="R367" s="1">
        <v>6</v>
      </c>
      <c r="S367" s="1">
        <v>5</v>
      </c>
      <c r="T367" s="1" t="s">
        <v>159</v>
      </c>
    </row>
    <row r="368" spans="1:20" x14ac:dyDescent="0.3">
      <c r="A368" s="1" t="s">
        <v>1852</v>
      </c>
      <c r="B368" s="1" t="s">
        <v>1853</v>
      </c>
      <c r="C368" s="1" t="s">
        <v>197</v>
      </c>
      <c r="D368" s="1" t="s">
        <v>327</v>
      </c>
      <c r="E368" s="1" t="s">
        <v>155</v>
      </c>
      <c r="F368" s="1" t="s">
        <v>133</v>
      </c>
      <c r="G368" s="1">
        <v>28</v>
      </c>
      <c r="H368" s="1" t="s">
        <v>26</v>
      </c>
      <c r="I368" s="1" t="s">
        <v>39</v>
      </c>
      <c r="J368" s="1" t="s">
        <v>1854</v>
      </c>
      <c r="K368" s="1">
        <v>20.8</v>
      </c>
      <c r="L368" s="1">
        <v>667713</v>
      </c>
      <c r="M368" s="1">
        <v>12.41</v>
      </c>
      <c r="N368" s="1">
        <v>3</v>
      </c>
      <c r="O368" s="1" t="s">
        <v>135</v>
      </c>
      <c r="P368" s="1" t="s">
        <v>1855</v>
      </c>
      <c r="Q368" s="1" t="s">
        <v>1856</v>
      </c>
      <c r="R368" s="1">
        <v>63</v>
      </c>
      <c r="S368" s="1">
        <v>23</v>
      </c>
      <c r="T368" s="1" t="s">
        <v>832</v>
      </c>
    </row>
    <row r="369" spans="1:20" x14ac:dyDescent="0.3">
      <c r="A369" s="1" t="s">
        <v>1857</v>
      </c>
      <c r="B369" s="1" t="s">
        <v>1858</v>
      </c>
      <c r="C369" s="1" t="s">
        <v>132</v>
      </c>
      <c r="D369" s="1" t="s">
        <v>59</v>
      </c>
      <c r="E369" s="1" t="s">
        <v>36</v>
      </c>
      <c r="F369" s="1" t="s">
        <v>25</v>
      </c>
      <c r="G369" s="1">
        <v>46</v>
      </c>
      <c r="H369" s="1" t="s">
        <v>26</v>
      </c>
      <c r="I369" s="1" t="s">
        <v>85</v>
      </c>
      <c r="J369" s="1" t="s">
        <v>1859</v>
      </c>
      <c r="K369" s="1">
        <v>0.8</v>
      </c>
      <c r="L369" s="1">
        <v>927250</v>
      </c>
      <c r="M369" s="1">
        <v>17.260000000000002</v>
      </c>
      <c r="N369" s="1">
        <v>3</v>
      </c>
      <c r="O369" s="1" t="s">
        <v>41</v>
      </c>
      <c r="P369" s="1" t="s">
        <v>1860</v>
      </c>
      <c r="Q369" s="1"/>
      <c r="R369" s="1">
        <v>32</v>
      </c>
      <c r="S369" s="1">
        <v>80</v>
      </c>
      <c r="T369" s="1" t="s">
        <v>615</v>
      </c>
    </row>
    <row r="370" spans="1:20" x14ac:dyDescent="0.3">
      <c r="A370" s="1" t="s">
        <v>1861</v>
      </c>
      <c r="B370" s="1" t="s">
        <v>1862</v>
      </c>
      <c r="C370" s="1" t="s">
        <v>35</v>
      </c>
      <c r="D370" s="1" t="s">
        <v>256</v>
      </c>
      <c r="E370" s="1" t="s">
        <v>175</v>
      </c>
      <c r="F370" s="1" t="s">
        <v>190</v>
      </c>
      <c r="G370" s="1">
        <v>46</v>
      </c>
      <c r="H370" s="1" t="s">
        <v>218</v>
      </c>
      <c r="I370" s="1" t="s">
        <v>125</v>
      </c>
      <c r="J370" s="1" t="s">
        <v>1863</v>
      </c>
      <c r="K370" s="1">
        <v>6.6</v>
      </c>
      <c r="L370" s="1">
        <v>1166038</v>
      </c>
      <c r="M370" s="1">
        <v>5.04</v>
      </c>
      <c r="N370" s="1">
        <v>5</v>
      </c>
      <c r="O370" s="1" t="s">
        <v>135</v>
      </c>
      <c r="P370" s="1" t="s">
        <v>1864</v>
      </c>
      <c r="Q370" s="1" t="s">
        <v>1865</v>
      </c>
      <c r="R370" s="1">
        <v>57</v>
      </c>
      <c r="S370" s="1">
        <v>51</v>
      </c>
      <c r="T370" s="1" t="s">
        <v>309</v>
      </c>
    </row>
    <row r="371" spans="1:20" x14ac:dyDescent="0.3">
      <c r="A371" s="1" t="s">
        <v>213</v>
      </c>
      <c r="B371" s="1" t="s">
        <v>1866</v>
      </c>
      <c r="C371" s="1" t="s">
        <v>110</v>
      </c>
      <c r="D371" s="1" t="s">
        <v>47</v>
      </c>
      <c r="E371" s="1" t="s">
        <v>92</v>
      </c>
      <c r="F371" s="1" t="s">
        <v>49</v>
      </c>
      <c r="G371" s="1">
        <v>42</v>
      </c>
      <c r="H371" s="1" t="s">
        <v>204</v>
      </c>
      <c r="I371" s="1" t="s">
        <v>51</v>
      </c>
      <c r="J371" s="1" t="s">
        <v>1867</v>
      </c>
      <c r="K371" s="1">
        <v>6.5</v>
      </c>
      <c r="L371" s="1">
        <v>1279836</v>
      </c>
      <c r="M371" s="1">
        <v>7.71</v>
      </c>
      <c r="N371" s="1">
        <v>4</v>
      </c>
      <c r="O371" s="1" t="s">
        <v>29</v>
      </c>
      <c r="P371" s="1" t="s">
        <v>1868</v>
      </c>
      <c r="Q371" s="1" t="s">
        <v>1869</v>
      </c>
      <c r="R371" s="1">
        <v>15</v>
      </c>
      <c r="S371" s="1">
        <v>103</v>
      </c>
      <c r="T371" s="1" t="s">
        <v>107</v>
      </c>
    </row>
    <row r="372" spans="1:20" x14ac:dyDescent="0.3">
      <c r="A372" s="1" t="s">
        <v>1870</v>
      </c>
      <c r="B372" s="1" t="s">
        <v>1871</v>
      </c>
      <c r="C372" s="1" t="s">
        <v>124</v>
      </c>
      <c r="D372" s="1" t="s">
        <v>47</v>
      </c>
      <c r="E372" s="1" t="s">
        <v>155</v>
      </c>
      <c r="F372" s="1" t="s">
        <v>72</v>
      </c>
      <c r="G372" s="1">
        <v>31</v>
      </c>
      <c r="H372" s="1" t="s">
        <v>142</v>
      </c>
      <c r="I372" s="1" t="s">
        <v>198</v>
      </c>
      <c r="J372" s="1" t="s">
        <v>1872</v>
      </c>
      <c r="K372" s="1">
        <v>7.6</v>
      </c>
      <c r="L372" s="1">
        <v>2493985</v>
      </c>
      <c r="M372" s="1">
        <v>0.11</v>
      </c>
      <c r="N372" s="1">
        <v>4</v>
      </c>
      <c r="O372" s="1" t="s">
        <v>41</v>
      </c>
      <c r="P372" s="1" t="s">
        <v>1873</v>
      </c>
      <c r="Q372" s="1" t="s">
        <v>1874</v>
      </c>
      <c r="R372" s="1">
        <v>15</v>
      </c>
      <c r="S372" s="1">
        <v>12</v>
      </c>
      <c r="T372" s="1" t="s">
        <v>97</v>
      </c>
    </row>
    <row r="373" spans="1:20" x14ac:dyDescent="0.3">
      <c r="A373" s="1" t="s">
        <v>1875</v>
      </c>
      <c r="B373" s="1" t="s">
        <v>1876</v>
      </c>
      <c r="C373" s="1" t="s">
        <v>110</v>
      </c>
      <c r="D373" s="1" t="s">
        <v>23</v>
      </c>
      <c r="E373" s="1" t="s">
        <v>71</v>
      </c>
      <c r="F373" s="1" t="s">
        <v>37</v>
      </c>
      <c r="G373" s="1">
        <v>55</v>
      </c>
      <c r="H373" s="1" t="s">
        <v>50</v>
      </c>
      <c r="I373" s="1" t="s">
        <v>27</v>
      </c>
      <c r="J373" s="1" t="s">
        <v>1877</v>
      </c>
      <c r="K373" s="1">
        <v>12</v>
      </c>
      <c r="L373" s="1">
        <v>1763162</v>
      </c>
      <c r="M373" s="1">
        <v>24.24</v>
      </c>
      <c r="N373" s="1">
        <v>5</v>
      </c>
      <c r="O373" s="1" t="s">
        <v>258</v>
      </c>
      <c r="P373" s="1" t="s">
        <v>1878</v>
      </c>
      <c r="Q373" s="1" t="s">
        <v>1879</v>
      </c>
      <c r="R373" s="1">
        <v>18</v>
      </c>
      <c r="S373" s="1">
        <v>19</v>
      </c>
      <c r="T373" s="1" t="s">
        <v>79</v>
      </c>
    </row>
    <row r="374" spans="1:20" x14ac:dyDescent="0.3">
      <c r="A374" s="1" t="s">
        <v>1880</v>
      </c>
      <c r="B374" s="1" t="s">
        <v>1881</v>
      </c>
      <c r="C374" s="1" t="s">
        <v>132</v>
      </c>
      <c r="D374" s="1" t="s">
        <v>244</v>
      </c>
      <c r="E374" s="1" t="s">
        <v>60</v>
      </c>
      <c r="F374" s="1" t="s">
        <v>72</v>
      </c>
      <c r="G374" s="1">
        <v>25</v>
      </c>
      <c r="H374" s="1" t="s">
        <v>142</v>
      </c>
      <c r="I374" s="1" t="s">
        <v>125</v>
      </c>
      <c r="J374" s="1" t="s">
        <v>1882</v>
      </c>
      <c r="K374" s="1">
        <v>26.1</v>
      </c>
      <c r="L374" s="1">
        <v>1813550</v>
      </c>
      <c r="M374" s="1">
        <v>3.45</v>
      </c>
      <c r="N374" s="1">
        <v>4</v>
      </c>
      <c r="O374" s="1" t="s">
        <v>29</v>
      </c>
      <c r="P374" s="1" t="s">
        <v>1883</v>
      </c>
      <c r="Q374" s="1" t="s">
        <v>1884</v>
      </c>
      <c r="R374" s="1">
        <v>18</v>
      </c>
      <c r="S374" s="1">
        <v>3</v>
      </c>
      <c r="T374" s="1" t="s">
        <v>172</v>
      </c>
    </row>
    <row r="375" spans="1:20" x14ac:dyDescent="0.3">
      <c r="A375" s="1" t="s">
        <v>1885</v>
      </c>
      <c r="B375" s="1" t="s">
        <v>1886</v>
      </c>
      <c r="C375" s="1" t="s">
        <v>230</v>
      </c>
      <c r="D375" s="1" t="s">
        <v>70</v>
      </c>
      <c r="E375" s="1" t="s">
        <v>71</v>
      </c>
      <c r="F375" s="1" t="s">
        <v>190</v>
      </c>
      <c r="G375" s="1">
        <v>27</v>
      </c>
      <c r="H375" s="1" t="s">
        <v>73</v>
      </c>
      <c r="I375" s="1" t="s">
        <v>85</v>
      </c>
      <c r="J375" s="1" t="s">
        <v>1887</v>
      </c>
      <c r="K375" s="1">
        <v>11.1</v>
      </c>
      <c r="L375" s="1">
        <v>877310</v>
      </c>
      <c r="M375" s="1">
        <v>3.99</v>
      </c>
      <c r="N375" s="1">
        <v>1</v>
      </c>
      <c r="O375" s="1" t="s">
        <v>41</v>
      </c>
      <c r="P375" s="1" t="s">
        <v>1888</v>
      </c>
      <c r="Q375" s="1" t="s">
        <v>1889</v>
      </c>
      <c r="R375" s="1">
        <v>17</v>
      </c>
      <c r="S375" s="1">
        <v>101</v>
      </c>
      <c r="T375" s="1" t="s">
        <v>360</v>
      </c>
    </row>
    <row r="376" spans="1:20" x14ac:dyDescent="0.3">
      <c r="A376" s="1" t="s">
        <v>1890</v>
      </c>
      <c r="B376" s="1" t="s">
        <v>1891</v>
      </c>
      <c r="C376" s="1" t="s">
        <v>124</v>
      </c>
      <c r="D376" s="1" t="s">
        <v>182</v>
      </c>
      <c r="E376" s="1" t="s">
        <v>60</v>
      </c>
      <c r="F376" s="1" t="s">
        <v>25</v>
      </c>
      <c r="G376" s="1">
        <v>23</v>
      </c>
      <c r="H376" s="1" t="s">
        <v>73</v>
      </c>
      <c r="I376" s="1" t="s">
        <v>39</v>
      </c>
      <c r="J376" s="1" t="s">
        <v>1892</v>
      </c>
      <c r="K376" s="1">
        <v>10.8</v>
      </c>
      <c r="L376" s="1">
        <v>837701</v>
      </c>
      <c r="M376" s="1">
        <v>5.87</v>
      </c>
      <c r="N376" s="1">
        <v>3</v>
      </c>
      <c r="O376" s="1" t="s">
        <v>41</v>
      </c>
      <c r="P376" s="1" t="s">
        <v>1893</v>
      </c>
      <c r="Q376" s="1" t="s">
        <v>1894</v>
      </c>
      <c r="R376" s="1">
        <v>10</v>
      </c>
      <c r="S376" s="1">
        <v>8</v>
      </c>
      <c r="T376" s="1" t="s">
        <v>432</v>
      </c>
    </row>
    <row r="377" spans="1:20" x14ac:dyDescent="0.3">
      <c r="A377" s="1" t="s">
        <v>186</v>
      </c>
      <c r="B377" s="1" t="s">
        <v>1506</v>
      </c>
      <c r="C377" s="1" t="s">
        <v>100</v>
      </c>
      <c r="D377" s="1" t="s">
        <v>47</v>
      </c>
      <c r="E377" s="1" t="s">
        <v>290</v>
      </c>
      <c r="F377" s="1" t="s">
        <v>37</v>
      </c>
      <c r="G377" s="1">
        <v>28</v>
      </c>
      <c r="H377" s="1" t="s">
        <v>204</v>
      </c>
      <c r="I377" s="1" t="s">
        <v>125</v>
      </c>
      <c r="J377" s="1" t="s">
        <v>1895</v>
      </c>
      <c r="K377" s="1">
        <v>1.9</v>
      </c>
      <c r="L377" s="1">
        <v>1556051</v>
      </c>
      <c r="M377" s="1">
        <v>15.24</v>
      </c>
      <c r="N377" s="1">
        <v>4</v>
      </c>
      <c r="O377" s="1" t="s">
        <v>135</v>
      </c>
      <c r="P377" s="1" t="s">
        <v>1896</v>
      </c>
      <c r="Q377" s="1" t="s">
        <v>1897</v>
      </c>
      <c r="R377" s="1">
        <v>30</v>
      </c>
      <c r="S377" s="1">
        <v>74</v>
      </c>
      <c r="T377" s="1" t="s">
        <v>629</v>
      </c>
    </row>
    <row r="378" spans="1:20" x14ac:dyDescent="0.3">
      <c r="A378" s="1" t="s">
        <v>1898</v>
      </c>
      <c r="B378" s="1" t="s">
        <v>1899</v>
      </c>
      <c r="C378" s="1" t="s">
        <v>35</v>
      </c>
      <c r="D378" s="1" t="s">
        <v>59</v>
      </c>
      <c r="E378" s="1" t="s">
        <v>189</v>
      </c>
      <c r="F378" s="1" t="s">
        <v>93</v>
      </c>
      <c r="G378" s="1">
        <v>43</v>
      </c>
      <c r="H378" s="1" t="s">
        <v>142</v>
      </c>
      <c r="I378" s="1" t="s">
        <v>118</v>
      </c>
      <c r="J378" s="1" t="s">
        <v>1900</v>
      </c>
      <c r="K378" s="1">
        <v>8.4</v>
      </c>
      <c r="L378" s="1">
        <v>2135907</v>
      </c>
      <c r="M378" s="1">
        <v>16.22</v>
      </c>
      <c r="N378" s="1">
        <v>3</v>
      </c>
      <c r="O378" s="1" t="s">
        <v>41</v>
      </c>
      <c r="P378" s="1" t="s">
        <v>1901</v>
      </c>
      <c r="Q378" s="1" t="s">
        <v>1902</v>
      </c>
      <c r="R378" s="1">
        <v>14</v>
      </c>
      <c r="S378" s="1">
        <v>92</v>
      </c>
      <c r="T378" s="1" t="s">
        <v>1670</v>
      </c>
    </row>
    <row r="379" spans="1:20" x14ac:dyDescent="0.3">
      <c r="A379" s="1" t="s">
        <v>1903</v>
      </c>
      <c r="B379" s="1" t="s">
        <v>1904</v>
      </c>
      <c r="C379" s="1" t="s">
        <v>35</v>
      </c>
      <c r="D379" s="1" t="s">
        <v>23</v>
      </c>
      <c r="E379" s="1" t="s">
        <v>48</v>
      </c>
      <c r="F379" s="1" t="s">
        <v>61</v>
      </c>
      <c r="G379" s="1">
        <v>38</v>
      </c>
      <c r="H379" s="1" t="s">
        <v>26</v>
      </c>
      <c r="I379" s="1" t="s">
        <v>85</v>
      </c>
      <c r="J379" s="1" t="s">
        <v>1905</v>
      </c>
      <c r="K379" s="1">
        <v>14.9</v>
      </c>
      <c r="L379" s="1">
        <v>1762044</v>
      </c>
      <c r="M379" s="1">
        <v>3.7</v>
      </c>
      <c r="N379" s="1">
        <v>3</v>
      </c>
      <c r="O379" s="1" t="s">
        <v>41</v>
      </c>
      <c r="P379" s="1"/>
      <c r="Q379" s="1" t="s">
        <v>1906</v>
      </c>
      <c r="R379" s="1">
        <v>18</v>
      </c>
      <c r="S379" s="1">
        <v>77</v>
      </c>
      <c r="T379" s="1" t="s">
        <v>89</v>
      </c>
    </row>
    <row r="380" spans="1:20" x14ac:dyDescent="0.3">
      <c r="A380" s="1" t="s">
        <v>1907</v>
      </c>
      <c r="B380" s="1" t="s">
        <v>1908</v>
      </c>
      <c r="C380" s="1" t="s">
        <v>35</v>
      </c>
      <c r="D380" s="1" t="s">
        <v>141</v>
      </c>
      <c r="E380" s="1" t="s">
        <v>102</v>
      </c>
      <c r="F380" s="1" t="s">
        <v>190</v>
      </c>
      <c r="G380" s="1">
        <v>46</v>
      </c>
      <c r="H380" s="1" t="s">
        <v>73</v>
      </c>
      <c r="I380" s="1" t="s">
        <v>74</v>
      </c>
      <c r="J380" s="1" t="s">
        <v>1909</v>
      </c>
      <c r="K380" s="1">
        <v>7.6</v>
      </c>
      <c r="L380" s="1">
        <v>807369</v>
      </c>
      <c r="M380" s="1">
        <v>12.1</v>
      </c>
      <c r="N380" s="1">
        <v>3</v>
      </c>
      <c r="O380" s="1" t="s">
        <v>41</v>
      </c>
      <c r="P380" s="1" t="s">
        <v>1910</v>
      </c>
      <c r="Q380" s="1" t="s">
        <v>1911</v>
      </c>
      <c r="R380" s="1">
        <v>29</v>
      </c>
      <c r="S380" s="1">
        <v>2</v>
      </c>
      <c r="T380" s="1" t="s">
        <v>335</v>
      </c>
    </row>
    <row r="381" spans="1:20" x14ac:dyDescent="0.3">
      <c r="A381" s="1" t="s">
        <v>468</v>
      </c>
      <c r="B381" s="1" t="s">
        <v>1912</v>
      </c>
      <c r="C381" s="1" t="s">
        <v>69</v>
      </c>
      <c r="D381" s="1" t="s">
        <v>256</v>
      </c>
      <c r="E381" s="1" t="s">
        <v>290</v>
      </c>
      <c r="F381" s="1" t="s">
        <v>93</v>
      </c>
      <c r="G381" s="1">
        <v>51</v>
      </c>
      <c r="H381" s="1" t="s">
        <v>204</v>
      </c>
      <c r="I381" s="1" t="s">
        <v>125</v>
      </c>
      <c r="J381" s="1" t="s">
        <v>1913</v>
      </c>
      <c r="K381" s="1"/>
      <c r="L381" s="1">
        <v>1603160</v>
      </c>
      <c r="M381" s="1">
        <v>18.309999999999999</v>
      </c>
      <c r="N381" s="1">
        <v>5</v>
      </c>
      <c r="O381" s="1" t="s">
        <v>41</v>
      </c>
      <c r="P381" s="1" t="s">
        <v>1914</v>
      </c>
      <c r="Q381" s="1" t="s">
        <v>1915</v>
      </c>
      <c r="R381" s="1">
        <v>31</v>
      </c>
      <c r="S381" s="1">
        <v>119</v>
      </c>
      <c r="T381" s="1"/>
    </row>
    <row r="382" spans="1:20" x14ac:dyDescent="0.3">
      <c r="A382" s="1" t="s">
        <v>1916</v>
      </c>
      <c r="B382" s="1" t="s">
        <v>501</v>
      </c>
      <c r="C382" s="1" t="s">
        <v>124</v>
      </c>
      <c r="D382" s="1" t="s">
        <v>23</v>
      </c>
      <c r="E382" s="1" t="s">
        <v>155</v>
      </c>
      <c r="F382" s="1" t="s">
        <v>93</v>
      </c>
      <c r="G382" s="1">
        <v>37</v>
      </c>
      <c r="H382" s="1" t="s">
        <v>50</v>
      </c>
      <c r="I382" s="1" t="s">
        <v>27</v>
      </c>
      <c r="J382" s="1" t="s">
        <v>1917</v>
      </c>
      <c r="K382" s="1">
        <v>28.5</v>
      </c>
      <c r="L382" s="1">
        <v>852378</v>
      </c>
      <c r="M382" s="1">
        <v>10.45</v>
      </c>
      <c r="N382" s="1">
        <v>5</v>
      </c>
      <c r="O382" s="1" t="s">
        <v>41</v>
      </c>
      <c r="P382" s="1" t="s">
        <v>1918</v>
      </c>
      <c r="Q382" s="1" t="s">
        <v>1919</v>
      </c>
      <c r="R382" s="1">
        <v>40</v>
      </c>
      <c r="S382" s="1">
        <v>80</v>
      </c>
      <c r="T382" s="1" t="s">
        <v>573</v>
      </c>
    </row>
    <row r="383" spans="1:20" x14ac:dyDescent="0.3">
      <c r="A383" s="1" t="s">
        <v>1920</v>
      </c>
      <c r="B383" s="1" t="s">
        <v>1921</v>
      </c>
      <c r="C383" s="1" t="s">
        <v>46</v>
      </c>
      <c r="D383" s="1" t="s">
        <v>83</v>
      </c>
      <c r="E383" s="1" t="s">
        <v>168</v>
      </c>
      <c r="F383" s="1" t="s">
        <v>61</v>
      </c>
      <c r="G383" s="1">
        <v>32</v>
      </c>
      <c r="H383" s="1" t="s">
        <v>38</v>
      </c>
      <c r="I383" s="1" t="s">
        <v>198</v>
      </c>
      <c r="J383" s="1" t="s">
        <v>1922</v>
      </c>
      <c r="K383" s="1"/>
      <c r="L383" s="1">
        <v>477308</v>
      </c>
      <c r="M383" s="1">
        <v>8.85</v>
      </c>
      <c r="N383" s="1">
        <v>3</v>
      </c>
      <c r="O383" s="1" t="s">
        <v>29</v>
      </c>
      <c r="P383" s="1" t="s">
        <v>1923</v>
      </c>
      <c r="Q383" s="1" t="s">
        <v>1924</v>
      </c>
      <c r="R383" s="1">
        <v>51</v>
      </c>
      <c r="S383" s="1">
        <v>67</v>
      </c>
      <c r="T383" s="1" t="s">
        <v>702</v>
      </c>
    </row>
    <row r="384" spans="1:20" x14ac:dyDescent="0.3">
      <c r="A384" s="1" t="s">
        <v>1925</v>
      </c>
      <c r="B384" s="1" t="s">
        <v>305</v>
      </c>
      <c r="C384" s="1" t="s">
        <v>100</v>
      </c>
      <c r="D384" s="1" t="s">
        <v>217</v>
      </c>
      <c r="E384" s="1" t="s">
        <v>155</v>
      </c>
      <c r="F384" s="1" t="s">
        <v>93</v>
      </c>
      <c r="G384" s="1">
        <v>30</v>
      </c>
      <c r="H384" s="1" t="s">
        <v>26</v>
      </c>
      <c r="I384" s="1" t="s">
        <v>39</v>
      </c>
      <c r="J384" s="1" t="s">
        <v>1926</v>
      </c>
      <c r="K384" s="1">
        <v>15.6</v>
      </c>
      <c r="L384" s="1">
        <v>975824</v>
      </c>
      <c r="M384" s="1">
        <v>23.68</v>
      </c>
      <c r="N384" s="1">
        <v>3</v>
      </c>
      <c r="O384" s="1" t="s">
        <v>29</v>
      </c>
      <c r="P384" s="1" t="s">
        <v>1927</v>
      </c>
      <c r="Q384" s="1" t="s">
        <v>1928</v>
      </c>
      <c r="R384" s="1">
        <v>77</v>
      </c>
      <c r="S384" s="1">
        <v>111</v>
      </c>
      <c r="T384" s="1" t="s">
        <v>510</v>
      </c>
    </row>
    <row r="385" spans="1:20" x14ac:dyDescent="0.3">
      <c r="A385" s="1" t="s">
        <v>1929</v>
      </c>
      <c r="B385" s="1" t="s">
        <v>1930</v>
      </c>
      <c r="C385" s="1" t="s">
        <v>132</v>
      </c>
      <c r="D385" s="1" t="s">
        <v>101</v>
      </c>
      <c r="E385" s="1" t="s">
        <v>36</v>
      </c>
      <c r="F385" s="1" t="s">
        <v>25</v>
      </c>
      <c r="G385" s="1">
        <v>40</v>
      </c>
      <c r="H385" s="1" t="s">
        <v>84</v>
      </c>
      <c r="I385" s="1" t="s">
        <v>74</v>
      </c>
      <c r="J385" s="1" t="s">
        <v>1931</v>
      </c>
      <c r="K385" s="1">
        <v>24.7</v>
      </c>
      <c r="L385" s="1">
        <v>1993706</v>
      </c>
      <c r="M385" s="1">
        <v>12.9</v>
      </c>
      <c r="N385" s="1">
        <v>3</v>
      </c>
      <c r="O385" s="1" t="s">
        <v>41</v>
      </c>
      <c r="P385" s="1" t="s">
        <v>1932</v>
      </c>
      <c r="Q385" s="1" t="s">
        <v>1933</v>
      </c>
      <c r="R385" s="1">
        <v>59</v>
      </c>
      <c r="S385" s="1">
        <v>59</v>
      </c>
      <c r="T385" s="1" t="s">
        <v>366</v>
      </c>
    </row>
    <row r="386" spans="1:20" x14ac:dyDescent="0.3">
      <c r="A386" s="1" t="s">
        <v>1934</v>
      </c>
      <c r="B386" s="1" t="s">
        <v>1935</v>
      </c>
      <c r="C386" s="1" t="s">
        <v>255</v>
      </c>
      <c r="D386" s="1" t="s">
        <v>141</v>
      </c>
      <c r="E386" s="1" t="s">
        <v>175</v>
      </c>
      <c r="F386" s="1" t="s">
        <v>133</v>
      </c>
      <c r="G386" s="1">
        <v>54</v>
      </c>
      <c r="H386" s="1" t="s">
        <v>73</v>
      </c>
      <c r="I386" s="1" t="s">
        <v>85</v>
      </c>
      <c r="J386" s="1" t="s">
        <v>1936</v>
      </c>
      <c r="K386" s="1">
        <v>21.7</v>
      </c>
      <c r="L386" s="1">
        <v>935029</v>
      </c>
      <c r="M386" s="1">
        <v>4.51</v>
      </c>
      <c r="N386" s="1">
        <v>5</v>
      </c>
      <c r="O386" s="1" t="s">
        <v>41</v>
      </c>
      <c r="P386" s="1" t="s">
        <v>1937</v>
      </c>
      <c r="Q386" s="1" t="s">
        <v>1938</v>
      </c>
      <c r="R386" s="1">
        <v>64</v>
      </c>
      <c r="S386" s="1">
        <v>67</v>
      </c>
      <c r="T386" s="1" t="s">
        <v>1280</v>
      </c>
    </row>
    <row r="387" spans="1:20" x14ac:dyDescent="0.3">
      <c r="A387" s="1" t="s">
        <v>1939</v>
      </c>
      <c r="B387" s="1" t="s">
        <v>905</v>
      </c>
      <c r="C387" s="1" t="s">
        <v>132</v>
      </c>
      <c r="D387" s="1" t="s">
        <v>231</v>
      </c>
      <c r="E387" s="1" t="s">
        <v>155</v>
      </c>
      <c r="F387" s="1" t="s">
        <v>190</v>
      </c>
      <c r="G387" s="1">
        <v>28</v>
      </c>
      <c r="H387" s="1" t="s">
        <v>84</v>
      </c>
      <c r="I387" s="1" t="s">
        <v>125</v>
      </c>
      <c r="J387" s="1" t="s">
        <v>1940</v>
      </c>
      <c r="K387" s="1">
        <v>7.5</v>
      </c>
      <c r="L387" s="1">
        <v>792718</v>
      </c>
      <c r="M387" s="1">
        <v>20.329999999999998</v>
      </c>
      <c r="N387" s="1">
        <v>1</v>
      </c>
      <c r="O387" s="1" t="s">
        <v>258</v>
      </c>
      <c r="P387" s="1" t="s">
        <v>1941</v>
      </c>
      <c r="Q387" s="1" t="s">
        <v>1942</v>
      </c>
      <c r="R387" s="1">
        <v>55</v>
      </c>
      <c r="S387" s="1">
        <v>3</v>
      </c>
      <c r="T387" s="1" t="s">
        <v>201</v>
      </c>
    </row>
    <row r="388" spans="1:20" x14ac:dyDescent="0.3">
      <c r="A388" s="1" t="s">
        <v>1943</v>
      </c>
      <c r="B388" s="1" t="s">
        <v>1944</v>
      </c>
      <c r="C388" s="1" t="s">
        <v>255</v>
      </c>
      <c r="D388" s="1" t="s">
        <v>47</v>
      </c>
      <c r="E388" s="1" t="s">
        <v>60</v>
      </c>
      <c r="F388" s="1" t="s">
        <v>37</v>
      </c>
      <c r="G388" s="1">
        <v>24</v>
      </c>
      <c r="H388" s="1" t="s">
        <v>84</v>
      </c>
      <c r="I388" s="1" t="s">
        <v>125</v>
      </c>
      <c r="J388" s="1" t="s">
        <v>1945</v>
      </c>
      <c r="K388" s="1">
        <v>27</v>
      </c>
      <c r="L388" s="1">
        <v>1106347</v>
      </c>
      <c r="M388" s="1">
        <v>21.31</v>
      </c>
      <c r="N388" s="1">
        <v>5</v>
      </c>
      <c r="O388" s="1" t="s">
        <v>41</v>
      </c>
      <c r="P388" s="1" t="s">
        <v>1946</v>
      </c>
      <c r="Q388" s="1" t="s">
        <v>1947</v>
      </c>
      <c r="R388" s="1">
        <v>65</v>
      </c>
      <c r="S388" s="1">
        <v>77</v>
      </c>
      <c r="T388" s="1" t="s">
        <v>893</v>
      </c>
    </row>
    <row r="389" spans="1:20" x14ac:dyDescent="0.3">
      <c r="A389" s="1" t="s">
        <v>1948</v>
      </c>
      <c r="B389" s="1" t="s">
        <v>1949</v>
      </c>
      <c r="C389" s="1" t="s">
        <v>230</v>
      </c>
      <c r="D389" s="1" t="s">
        <v>231</v>
      </c>
      <c r="E389" s="1" t="s">
        <v>71</v>
      </c>
      <c r="F389" s="1" t="s">
        <v>72</v>
      </c>
      <c r="G389" s="1">
        <v>44</v>
      </c>
      <c r="H389" s="1" t="s">
        <v>142</v>
      </c>
      <c r="I389" s="1" t="s">
        <v>85</v>
      </c>
      <c r="J389" s="1" t="s">
        <v>1950</v>
      </c>
      <c r="K389" s="1">
        <v>14.9</v>
      </c>
      <c r="L389" s="1">
        <v>848008</v>
      </c>
      <c r="M389" s="1">
        <v>16.75</v>
      </c>
      <c r="N389" s="1" t="s">
        <v>577</v>
      </c>
      <c r="O389" s="1" t="s">
        <v>64</v>
      </c>
      <c r="P389" s="1" t="s">
        <v>1951</v>
      </c>
      <c r="Q389" s="1" t="s">
        <v>1952</v>
      </c>
      <c r="R389" s="1">
        <v>66</v>
      </c>
      <c r="S389" s="1">
        <v>79</v>
      </c>
      <c r="T389" s="1" t="s">
        <v>615</v>
      </c>
    </row>
    <row r="390" spans="1:20" x14ac:dyDescent="0.3">
      <c r="A390" s="1" t="s">
        <v>1953</v>
      </c>
      <c r="B390" s="1" t="s">
        <v>1954</v>
      </c>
      <c r="C390" s="1" t="s">
        <v>230</v>
      </c>
      <c r="D390" s="1" t="s">
        <v>244</v>
      </c>
      <c r="E390" s="1" t="s">
        <v>168</v>
      </c>
      <c r="F390" s="1" t="s">
        <v>49</v>
      </c>
      <c r="G390" s="1">
        <v>28</v>
      </c>
      <c r="H390" s="1" t="s">
        <v>103</v>
      </c>
      <c r="I390" s="1" t="s">
        <v>198</v>
      </c>
      <c r="J390" s="1" t="s">
        <v>1859</v>
      </c>
      <c r="K390" s="1">
        <v>25.3</v>
      </c>
      <c r="L390" s="1">
        <v>583302</v>
      </c>
      <c r="M390" s="1">
        <v>1.51</v>
      </c>
      <c r="N390" s="1">
        <v>3</v>
      </c>
      <c r="O390" s="1" t="s">
        <v>135</v>
      </c>
      <c r="P390" s="1" t="s">
        <v>1955</v>
      </c>
      <c r="Q390" s="1" t="s">
        <v>1956</v>
      </c>
      <c r="R390" s="1">
        <v>55</v>
      </c>
      <c r="S390" s="1">
        <v>83</v>
      </c>
      <c r="T390" s="1" t="s">
        <v>468</v>
      </c>
    </row>
    <row r="391" spans="1:20" x14ac:dyDescent="0.3">
      <c r="A391" s="1" t="s">
        <v>1957</v>
      </c>
      <c r="B391" s="1" t="s">
        <v>1958</v>
      </c>
      <c r="C391" s="1" t="s">
        <v>124</v>
      </c>
      <c r="D391" s="1" t="s">
        <v>217</v>
      </c>
      <c r="E391" s="1" t="s">
        <v>155</v>
      </c>
      <c r="F391" s="1" t="s">
        <v>37</v>
      </c>
      <c r="G391" s="1">
        <v>32</v>
      </c>
      <c r="H391" s="1" t="s">
        <v>84</v>
      </c>
      <c r="I391" s="1" t="s">
        <v>39</v>
      </c>
      <c r="J391" s="1" t="s">
        <v>1959</v>
      </c>
      <c r="K391" s="1">
        <v>20.5</v>
      </c>
      <c r="L391" s="1">
        <v>745520</v>
      </c>
      <c r="M391" s="1">
        <v>2.86</v>
      </c>
      <c r="N391" s="1">
        <v>3</v>
      </c>
      <c r="O391" s="1" t="s">
        <v>29</v>
      </c>
      <c r="P391" s="1" t="s">
        <v>1960</v>
      </c>
      <c r="Q391" s="1" t="s">
        <v>1961</v>
      </c>
      <c r="R391" s="1">
        <v>9</v>
      </c>
      <c r="S391" s="1">
        <v>47</v>
      </c>
      <c r="T391" s="1" t="s">
        <v>309</v>
      </c>
    </row>
    <row r="392" spans="1:20" x14ac:dyDescent="0.3">
      <c r="A392" s="1" t="s">
        <v>1962</v>
      </c>
      <c r="B392" s="1" t="s">
        <v>1963</v>
      </c>
      <c r="C392" s="1" t="s">
        <v>230</v>
      </c>
      <c r="D392" s="1" t="s">
        <v>23</v>
      </c>
      <c r="E392" s="1" t="s">
        <v>92</v>
      </c>
      <c r="F392" s="1" t="s">
        <v>133</v>
      </c>
      <c r="G392" s="1">
        <v>28</v>
      </c>
      <c r="H392" s="1" t="s">
        <v>38</v>
      </c>
      <c r="I392" s="1" t="s">
        <v>118</v>
      </c>
      <c r="J392" s="1" t="s">
        <v>1964</v>
      </c>
      <c r="K392" s="1">
        <v>17.100000000000001</v>
      </c>
      <c r="L392" s="1">
        <v>1474344</v>
      </c>
      <c r="M392" s="1">
        <v>16.71</v>
      </c>
      <c r="N392" s="1">
        <v>3</v>
      </c>
      <c r="O392" s="1" t="s">
        <v>135</v>
      </c>
      <c r="P392" s="1" t="s">
        <v>1965</v>
      </c>
      <c r="Q392" s="1" t="s">
        <v>1966</v>
      </c>
      <c r="R392" s="1"/>
      <c r="S392" s="1">
        <v>29</v>
      </c>
      <c r="T392" s="1" t="s">
        <v>201</v>
      </c>
    </row>
    <row r="393" spans="1:20" x14ac:dyDescent="0.3">
      <c r="A393" s="1" t="s">
        <v>1967</v>
      </c>
      <c r="B393" s="1" t="s">
        <v>1968</v>
      </c>
      <c r="C393" s="1" t="s">
        <v>82</v>
      </c>
      <c r="D393" s="1" t="s">
        <v>59</v>
      </c>
      <c r="E393" s="1" t="s">
        <v>168</v>
      </c>
      <c r="F393" s="1" t="s">
        <v>49</v>
      </c>
      <c r="G393" s="1">
        <v>34</v>
      </c>
      <c r="H393" s="1" t="s">
        <v>62</v>
      </c>
      <c r="I393" s="1" t="s">
        <v>118</v>
      </c>
      <c r="J393" s="1" t="s">
        <v>1969</v>
      </c>
      <c r="K393" s="1">
        <v>15.3</v>
      </c>
      <c r="L393" s="1">
        <v>1272251</v>
      </c>
      <c r="M393" s="1">
        <v>4.29</v>
      </c>
      <c r="N393" s="1">
        <v>5</v>
      </c>
      <c r="O393" s="1" t="s">
        <v>41</v>
      </c>
      <c r="P393" s="1" t="s">
        <v>1970</v>
      </c>
      <c r="Q393" s="1" t="s">
        <v>1971</v>
      </c>
      <c r="R393" s="1">
        <v>20</v>
      </c>
      <c r="S393" s="1">
        <v>66</v>
      </c>
      <c r="T393" s="1" t="s">
        <v>66</v>
      </c>
    </row>
    <row r="394" spans="1:20" x14ac:dyDescent="0.3">
      <c r="A394" s="1" t="s">
        <v>227</v>
      </c>
      <c r="B394" s="1" t="s">
        <v>1972</v>
      </c>
      <c r="C394" s="1" t="s">
        <v>82</v>
      </c>
      <c r="D394" s="1" t="s">
        <v>141</v>
      </c>
      <c r="E394" s="1" t="s">
        <v>92</v>
      </c>
      <c r="F394" s="1" t="s">
        <v>93</v>
      </c>
      <c r="G394" s="1">
        <v>56</v>
      </c>
      <c r="H394" s="1" t="s">
        <v>38</v>
      </c>
      <c r="I394" s="1" t="s">
        <v>198</v>
      </c>
      <c r="J394" s="1" t="s">
        <v>1973</v>
      </c>
      <c r="K394" s="1">
        <v>5.7</v>
      </c>
      <c r="L394" s="1">
        <v>456440</v>
      </c>
      <c r="M394" s="1">
        <v>24.73</v>
      </c>
      <c r="N394" s="1">
        <v>4</v>
      </c>
      <c r="O394" s="1" t="s">
        <v>41</v>
      </c>
      <c r="P394" s="1"/>
      <c r="Q394" s="1" t="s">
        <v>1974</v>
      </c>
      <c r="R394" s="1">
        <v>63</v>
      </c>
      <c r="S394" s="1">
        <v>17</v>
      </c>
      <c r="T394" s="1" t="s">
        <v>227</v>
      </c>
    </row>
    <row r="395" spans="1:20" x14ac:dyDescent="0.3">
      <c r="A395" s="1" t="s">
        <v>1975</v>
      </c>
      <c r="B395" s="1" t="s">
        <v>1976</v>
      </c>
      <c r="C395" s="1" t="s">
        <v>230</v>
      </c>
      <c r="D395" s="1" t="s">
        <v>141</v>
      </c>
      <c r="E395" s="1" t="s">
        <v>290</v>
      </c>
      <c r="F395" s="1" t="s">
        <v>72</v>
      </c>
      <c r="G395" s="1">
        <v>37</v>
      </c>
      <c r="H395" s="1" t="s">
        <v>73</v>
      </c>
      <c r="I395" s="1" t="s">
        <v>125</v>
      </c>
      <c r="J395" s="1" t="s">
        <v>1977</v>
      </c>
      <c r="K395" s="1">
        <v>10.9</v>
      </c>
      <c r="L395" s="1">
        <v>2019353</v>
      </c>
      <c r="M395" s="1">
        <v>6.12</v>
      </c>
      <c r="N395" s="1">
        <v>4</v>
      </c>
      <c r="O395" s="1" t="s">
        <v>29</v>
      </c>
      <c r="P395" s="1" t="s">
        <v>1978</v>
      </c>
      <c r="Q395" s="1" t="s">
        <v>1979</v>
      </c>
      <c r="R395" s="1">
        <v>74</v>
      </c>
      <c r="S395" s="1">
        <v>77</v>
      </c>
      <c r="T395" s="1" t="s">
        <v>1280</v>
      </c>
    </row>
    <row r="396" spans="1:20" x14ac:dyDescent="0.3">
      <c r="A396" s="1" t="s">
        <v>1980</v>
      </c>
      <c r="B396" s="1" t="s">
        <v>1981</v>
      </c>
      <c r="C396" s="1" t="s">
        <v>46</v>
      </c>
      <c r="D396" s="1" t="s">
        <v>111</v>
      </c>
      <c r="E396" s="1" t="s">
        <v>155</v>
      </c>
      <c r="F396" s="1" t="s">
        <v>49</v>
      </c>
      <c r="G396" s="1">
        <v>50</v>
      </c>
      <c r="H396" s="1" t="s">
        <v>62</v>
      </c>
      <c r="I396" s="1" t="s">
        <v>125</v>
      </c>
      <c r="J396" s="1" t="s">
        <v>1982</v>
      </c>
      <c r="K396" s="1">
        <v>7.3</v>
      </c>
      <c r="L396" s="1">
        <v>404404</v>
      </c>
      <c r="M396" s="1">
        <v>12.25</v>
      </c>
      <c r="N396" s="1">
        <v>3</v>
      </c>
      <c r="O396" s="1" t="s">
        <v>41</v>
      </c>
      <c r="P396" s="1" t="s">
        <v>1983</v>
      </c>
      <c r="Q396" s="1" t="s">
        <v>1984</v>
      </c>
      <c r="R396" s="1">
        <v>18</v>
      </c>
      <c r="S396" s="1">
        <v>107</v>
      </c>
      <c r="T396" s="1" t="s">
        <v>66</v>
      </c>
    </row>
    <row r="397" spans="1:20" x14ac:dyDescent="0.3">
      <c r="A397" s="1" t="s">
        <v>1985</v>
      </c>
      <c r="B397" s="1" t="s">
        <v>1986</v>
      </c>
      <c r="C397" s="1" t="s">
        <v>35</v>
      </c>
      <c r="D397" s="1" t="s">
        <v>83</v>
      </c>
      <c r="E397" s="1" t="s">
        <v>168</v>
      </c>
      <c r="F397" s="1" t="s">
        <v>133</v>
      </c>
      <c r="G397" s="1">
        <v>55</v>
      </c>
      <c r="H397" s="1" t="s">
        <v>204</v>
      </c>
      <c r="I397" s="1" t="s">
        <v>27</v>
      </c>
      <c r="J397" s="1" t="s">
        <v>1817</v>
      </c>
      <c r="K397" s="1">
        <v>5.2</v>
      </c>
      <c r="L397" s="1">
        <v>535744</v>
      </c>
      <c r="M397" s="1">
        <v>6.24</v>
      </c>
      <c r="N397" s="1">
        <v>4</v>
      </c>
      <c r="O397" s="1" t="s">
        <v>76</v>
      </c>
      <c r="P397" s="1" t="s">
        <v>1987</v>
      </c>
      <c r="Q397" s="1" t="s">
        <v>1988</v>
      </c>
      <c r="R397" s="1">
        <v>46</v>
      </c>
      <c r="S397" s="1">
        <v>35</v>
      </c>
      <c r="T397" s="1" t="s">
        <v>403</v>
      </c>
    </row>
    <row r="398" spans="1:20" x14ac:dyDescent="0.3">
      <c r="A398" s="1" t="s">
        <v>1989</v>
      </c>
      <c r="B398" s="1" t="s">
        <v>1990</v>
      </c>
      <c r="C398" s="1" t="s">
        <v>124</v>
      </c>
      <c r="D398" s="1" t="s">
        <v>101</v>
      </c>
      <c r="E398" s="1" t="s">
        <v>102</v>
      </c>
      <c r="F398" s="1" t="s">
        <v>93</v>
      </c>
      <c r="G398" s="1">
        <v>56</v>
      </c>
      <c r="H398" s="1" t="s">
        <v>62</v>
      </c>
      <c r="I398" s="1" t="s">
        <v>51</v>
      </c>
      <c r="J398" s="1" t="s">
        <v>1991</v>
      </c>
      <c r="K398" s="1">
        <v>3.5</v>
      </c>
      <c r="L398" s="1">
        <v>999414</v>
      </c>
      <c r="M398" s="1">
        <v>7.41</v>
      </c>
      <c r="N398" s="1">
        <v>3</v>
      </c>
      <c r="O398" s="1" t="s">
        <v>135</v>
      </c>
      <c r="P398" s="1" t="s">
        <v>1992</v>
      </c>
      <c r="Q398" s="1" t="s">
        <v>1993</v>
      </c>
      <c r="R398" s="1">
        <v>53</v>
      </c>
      <c r="S398" s="1">
        <v>59</v>
      </c>
      <c r="T398" s="1" t="s">
        <v>1994</v>
      </c>
    </row>
    <row r="399" spans="1:20" x14ac:dyDescent="0.3">
      <c r="A399" s="1" t="s">
        <v>252</v>
      </c>
      <c r="B399" s="1" t="s">
        <v>215</v>
      </c>
      <c r="C399" s="1" t="s">
        <v>69</v>
      </c>
      <c r="D399" s="1" t="s">
        <v>327</v>
      </c>
      <c r="E399" s="1" t="s">
        <v>24</v>
      </c>
      <c r="F399" s="1" t="s">
        <v>61</v>
      </c>
      <c r="G399" s="1">
        <v>37</v>
      </c>
      <c r="H399" s="1" t="s">
        <v>38</v>
      </c>
      <c r="I399" s="1" t="s">
        <v>125</v>
      </c>
      <c r="J399" s="1" t="s">
        <v>1995</v>
      </c>
      <c r="K399" s="1">
        <v>1.7</v>
      </c>
      <c r="L399" s="1">
        <v>1332702</v>
      </c>
      <c r="M399" s="1">
        <v>7.5</v>
      </c>
      <c r="N399" s="1">
        <v>5</v>
      </c>
      <c r="O399" s="1" t="s">
        <v>41</v>
      </c>
      <c r="P399" s="1" t="s">
        <v>1996</v>
      </c>
      <c r="Q399" s="1" t="s">
        <v>1997</v>
      </c>
      <c r="R399" s="1"/>
      <c r="S399" s="1">
        <v>79</v>
      </c>
      <c r="T399" s="1" t="s">
        <v>354</v>
      </c>
    </row>
    <row r="400" spans="1:20" x14ac:dyDescent="0.3">
      <c r="A400" s="1" t="s">
        <v>1998</v>
      </c>
      <c r="B400" s="1" t="s">
        <v>1223</v>
      </c>
      <c r="C400" s="1" t="s">
        <v>216</v>
      </c>
      <c r="D400" s="1" t="s">
        <v>83</v>
      </c>
      <c r="E400" s="1" t="s">
        <v>71</v>
      </c>
      <c r="F400" s="1" t="s">
        <v>25</v>
      </c>
      <c r="G400" s="1">
        <v>27</v>
      </c>
      <c r="H400" s="1" t="s">
        <v>142</v>
      </c>
      <c r="I400" s="1" t="s">
        <v>39</v>
      </c>
      <c r="J400" s="1" t="s">
        <v>1117</v>
      </c>
      <c r="K400" s="1">
        <v>22.7</v>
      </c>
      <c r="L400" s="1">
        <v>2097403</v>
      </c>
      <c r="M400" s="1">
        <v>0.25</v>
      </c>
      <c r="N400" s="1">
        <v>3</v>
      </c>
      <c r="O400" s="1" t="s">
        <v>29</v>
      </c>
      <c r="P400" s="1" t="s">
        <v>1999</v>
      </c>
      <c r="Q400" s="1" t="s">
        <v>2000</v>
      </c>
      <c r="R400" s="1">
        <v>76</v>
      </c>
      <c r="S400" s="1">
        <v>92</v>
      </c>
      <c r="T400" s="1" t="s">
        <v>933</v>
      </c>
    </row>
    <row r="401" spans="1:20" x14ac:dyDescent="0.3">
      <c r="A401" s="1" t="s">
        <v>1216</v>
      </c>
      <c r="B401" s="1" t="s">
        <v>2001</v>
      </c>
      <c r="C401" s="1" t="s">
        <v>132</v>
      </c>
      <c r="D401" s="1" t="s">
        <v>231</v>
      </c>
      <c r="E401" s="1" t="s">
        <v>71</v>
      </c>
      <c r="F401" s="1" t="s">
        <v>72</v>
      </c>
      <c r="G401" s="1">
        <v>26</v>
      </c>
      <c r="H401" s="1" t="s">
        <v>84</v>
      </c>
      <c r="I401" s="1" t="s">
        <v>118</v>
      </c>
      <c r="J401" s="1" t="s">
        <v>2002</v>
      </c>
      <c r="K401" s="1">
        <v>28.5</v>
      </c>
      <c r="L401" s="1">
        <v>1836492</v>
      </c>
      <c r="M401" s="1">
        <v>16.239999999999998</v>
      </c>
      <c r="N401" s="1">
        <v>3</v>
      </c>
      <c r="O401" s="1" t="s">
        <v>41</v>
      </c>
      <c r="P401" s="1" t="s">
        <v>2003</v>
      </c>
      <c r="Q401" s="1" t="s">
        <v>2004</v>
      </c>
      <c r="R401" s="1"/>
      <c r="S401" s="1">
        <v>23</v>
      </c>
      <c r="T401" s="1" t="s">
        <v>756</v>
      </c>
    </row>
    <row r="402" spans="1:20" x14ac:dyDescent="0.3">
      <c r="A402" s="1" t="s">
        <v>2005</v>
      </c>
      <c r="B402" s="1" t="s">
        <v>2006</v>
      </c>
      <c r="C402" s="1" t="s">
        <v>82</v>
      </c>
      <c r="D402" s="1" t="s">
        <v>141</v>
      </c>
      <c r="E402" s="1" t="s">
        <v>48</v>
      </c>
      <c r="F402" s="1" t="s">
        <v>190</v>
      </c>
      <c r="G402" s="1">
        <v>45</v>
      </c>
      <c r="H402" s="1" t="s">
        <v>84</v>
      </c>
      <c r="I402" s="1" t="s">
        <v>74</v>
      </c>
      <c r="J402" s="1" t="s">
        <v>2007</v>
      </c>
      <c r="K402" s="1">
        <v>24.4</v>
      </c>
      <c r="L402" s="1">
        <v>1350728</v>
      </c>
      <c r="M402" s="1">
        <v>12.01</v>
      </c>
      <c r="N402" s="1">
        <v>5</v>
      </c>
      <c r="O402" s="1" t="s">
        <v>258</v>
      </c>
      <c r="P402" s="1" t="s">
        <v>2008</v>
      </c>
      <c r="Q402" s="1" t="s">
        <v>2009</v>
      </c>
      <c r="R402" s="1">
        <v>27</v>
      </c>
      <c r="S402" s="1">
        <v>74</v>
      </c>
      <c r="T402" s="1" t="s">
        <v>179</v>
      </c>
    </row>
    <row r="403" spans="1:20" x14ac:dyDescent="0.3">
      <c r="A403" s="1" t="s">
        <v>2010</v>
      </c>
      <c r="B403" s="1" t="s">
        <v>2011</v>
      </c>
      <c r="C403" s="1" t="s">
        <v>230</v>
      </c>
      <c r="D403" s="1" t="s">
        <v>182</v>
      </c>
      <c r="E403" s="1" t="s">
        <v>71</v>
      </c>
      <c r="F403" s="1" t="s">
        <v>37</v>
      </c>
      <c r="G403" s="1">
        <v>39</v>
      </c>
      <c r="H403" s="1" t="s">
        <v>218</v>
      </c>
      <c r="I403" s="1" t="s">
        <v>85</v>
      </c>
      <c r="J403" s="1" t="s">
        <v>2012</v>
      </c>
      <c r="K403" s="1">
        <v>4</v>
      </c>
      <c r="L403" s="1">
        <v>2166961</v>
      </c>
      <c r="M403" s="1">
        <v>14.82</v>
      </c>
      <c r="N403" s="1" t="s">
        <v>577</v>
      </c>
      <c r="O403" s="1" t="s">
        <v>135</v>
      </c>
      <c r="P403" s="1" t="s">
        <v>2013</v>
      </c>
      <c r="Q403" s="1" t="s">
        <v>2014</v>
      </c>
      <c r="R403" s="1">
        <v>55</v>
      </c>
      <c r="S403" s="1">
        <v>16</v>
      </c>
      <c r="T403" s="1" t="s">
        <v>615</v>
      </c>
    </row>
    <row r="404" spans="1:20" x14ac:dyDescent="0.3">
      <c r="A404" s="1" t="s">
        <v>2015</v>
      </c>
      <c r="B404" s="1" t="s">
        <v>2016</v>
      </c>
      <c r="C404" s="1" t="s">
        <v>58</v>
      </c>
      <c r="D404" s="1" t="s">
        <v>244</v>
      </c>
      <c r="E404" s="1" t="s">
        <v>36</v>
      </c>
      <c r="F404" s="1" t="s">
        <v>49</v>
      </c>
      <c r="G404" s="1">
        <v>58</v>
      </c>
      <c r="H404" s="1" t="s">
        <v>26</v>
      </c>
      <c r="I404" s="1" t="s">
        <v>27</v>
      </c>
      <c r="J404" s="1" t="s">
        <v>2017</v>
      </c>
      <c r="K404" s="1">
        <v>11.9</v>
      </c>
      <c r="L404" s="1">
        <v>1275799</v>
      </c>
      <c r="M404" s="1">
        <v>10.88</v>
      </c>
      <c r="N404" s="1">
        <v>5</v>
      </c>
      <c r="O404" s="1" t="s">
        <v>41</v>
      </c>
      <c r="P404" s="1" t="s">
        <v>2018</v>
      </c>
      <c r="Q404" s="1" t="s">
        <v>2019</v>
      </c>
      <c r="R404" s="1">
        <v>25</v>
      </c>
      <c r="S404" s="1">
        <v>102</v>
      </c>
      <c r="T404" s="1" t="s">
        <v>756</v>
      </c>
    </row>
    <row r="405" spans="1:20" x14ac:dyDescent="0.3">
      <c r="A405" s="1" t="s">
        <v>2020</v>
      </c>
      <c r="B405" s="1" t="s">
        <v>2021</v>
      </c>
      <c r="C405" s="1" t="s">
        <v>69</v>
      </c>
      <c r="D405" s="1" t="s">
        <v>70</v>
      </c>
      <c r="E405" s="1" t="s">
        <v>155</v>
      </c>
      <c r="F405" s="1" t="s">
        <v>49</v>
      </c>
      <c r="G405" s="1">
        <v>44</v>
      </c>
      <c r="H405" s="1" t="s">
        <v>103</v>
      </c>
      <c r="I405" s="1" t="s">
        <v>27</v>
      </c>
      <c r="J405" s="1" t="s">
        <v>2022</v>
      </c>
      <c r="K405" s="1">
        <v>24.1</v>
      </c>
      <c r="L405" s="1">
        <v>1495071</v>
      </c>
      <c r="M405" s="1">
        <v>9.4499999999999993</v>
      </c>
      <c r="N405" s="1" t="s">
        <v>577</v>
      </c>
      <c r="O405" s="1" t="s">
        <v>135</v>
      </c>
      <c r="P405" s="1" t="s">
        <v>2023</v>
      </c>
      <c r="Q405" s="1" t="s">
        <v>2024</v>
      </c>
      <c r="R405" s="1">
        <v>56</v>
      </c>
      <c r="S405" s="1">
        <v>81</v>
      </c>
      <c r="T405" s="1" t="s">
        <v>335</v>
      </c>
    </row>
    <row r="406" spans="1:20" x14ac:dyDescent="0.3">
      <c r="A406" s="1" t="s">
        <v>1357</v>
      </c>
      <c r="B406" s="1" t="s">
        <v>305</v>
      </c>
      <c r="C406" s="1" t="s">
        <v>46</v>
      </c>
      <c r="D406" s="1" t="s">
        <v>256</v>
      </c>
      <c r="E406" s="1" t="s">
        <v>24</v>
      </c>
      <c r="F406" s="1" t="s">
        <v>93</v>
      </c>
      <c r="G406" s="1">
        <v>24</v>
      </c>
      <c r="H406" s="1" t="s">
        <v>26</v>
      </c>
      <c r="I406" s="1" t="s">
        <v>74</v>
      </c>
      <c r="J406" s="1" t="s">
        <v>2025</v>
      </c>
      <c r="K406" s="1">
        <v>14</v>
      </c>
      <c r="L406" s="1">
        <v>1510771</v>
      </c>
      <c r="M406" s="1">
        <v>13.66</v>
      </c>
      <c r="N406" s="1">
        <v>5</v>
      </c>
      <c r="O406" s="1" t="s">
        <v>64</v>
      </c>
      <c r="P406" s="1" t="s">
        <v>2026</v>
      </c>
      <c r="Q406" s="1" t="s">
        <v>2027</v>
      </c>
      <c r="R406" s="1">
        <v>13</v>
      </c>
      <c r="S406" s="1">
        <v>83</v>
      </c>
      <c r="T406" s="1" t="s">
        <v>468</v>
      </c>
    </row>
    <row r="407" spans="1:20" x14ac:dyDescent="0.3">
      <c r="A407" s="1" t="s">
        <v>2028</v>
      </c>
      <c r="B407" s="1" t="s">
        <v>625</v>
      </c>
      <c r="C407" s="1" t="s">
        <v>46</v>
      </c>
      <c r="D407" s="1" t="s">
        <v>217</v>
      </c>
      <c r="E407" s="1" t="s">
        <v>48</v>
      </c>
      <c r="F407" s="1" t="s">
        <v>72</v>
      </c>
      <c r="G407" s="1">
        <v>37</v>
      </c>
      <c r="H407" s="1" t="s">
        <v>73</v>
      </c>
      <c r="I407" s="1" t="s">
        <v>27</v>
      </c>
      <c r="J407" s="1" t="s">
        <v>2029</v>
      </c>
      <c r="K407" s="1">
        <v>24.8</v>
      </c>
      <c r="L407" s="1">
        <v>475432</v>
      </c>
      <c r="M407" s="1">
        <v>1.06</v>
      </c>
      <c r="N407" s="1">
        <v>4</v>
      </c>
      <c r="O407" s="1" t="s">
        <v>76</v>
      </c>
      <c r="P407" s="1" t="s">
        <v>2030</v>
      </c>
      <c r="Q407" s="1" t="s">
        <v>2031</v>
      </c>
      <c r="R407" s="1">
        <v>66</v>
      </c>
      <c r="S407" s="1">
        <v>94</v>
      </c>
      <c r="T407" s="1" t="s">
        <v>129</v>
      </c>
    </row>
    <row r="408" spans="1:20" x14ac:dyDescent="0.3">
      <c r="A408" s="1" t="s">
        <v>1994</v>
      </c>
      <c r="B408" s="1" t="s">
        <v>2032</v>
      </c>
      <c r="C408" s="1" t="s">
        <v>46</v>
      </c>
      <c r="D408" s="1" t="s">
        <v>327</v>
      </c>
      <c r="E408" s="1" t="s">
        <v>71</v>
      </c>
      <c r="F408" s="1" t="s">
        <v>25</v>
      </c>
      <c r="G408" s="1">
        <v>47</v>
      </c>
      <c r="H408" s="1" t="s">
        <v>84</v>
      </c>
      <c r="I408" s="1" t="s">
        <v>198</v>
      </c>
      <c r="J408" s="1" t="s">
        <v>2033</v>
      </c>
      <c r="K408" s="1">
        <v>28.4</v>
      </c>
      <c r="L408" s="1" t="s">
        <v>591</v>
      </c>
      <c r="M408" s="1">
        <v>12.51</v>
      </c>
      <c r="N408" s="1">
        <v>1</v>
      </c>
      <c r="O408" s="1" t="s">
        <v>29</v>
      </c>
      <c r="P408" s="1" t="s">
        <v>2034</v>
      </c>
      <c r="Q408" s="1" t="s">
        <v>2035</v>
      </c>
      <c r="R408" s="1">
        <v>45</v>
      </c>
      <c r="S408" s="1">
        <v>110</v>
      </c>
      <c r="T408" s="1"/>
    </row>
    <row r="409" spans="1:20" x14ac:dyDescent="0.3">
      <c r="A409" s="1" t="s">
        <v>2036</v>
      </c>
      <c r="B409" s="1" t="s">
        <v>2037</v>
      </c>
      <c r="C409" s="1" t="s">
        <v>124</v>
      </c>
      <c r="D409" s="1" t="s">
        <v>256</v>
      </c>
      <c r="E409" s="1" t="s">
        <v>36</v>
      </c>
      <c r="F409" s="1" t="s">
        <v>61</v>
      </c>
      <c r="G409" s="1">
        <v>42</v>
      </c>
      <c r="H409" s="1" t="s">
        <v>38</v>
      </c>
      <c r="I409" s="1" t="s">
        <v>85</v>
      </c>
      <c r="J409" s="1" t="s">
        <v>2038</v>
      </c>
      <c r="K409" s="1">
        <v>18.5</v>
      </c>
      <c r="L409" s="1">
        <v>1913392</v>
      </c>
      <c r="M409" s="1">
        <v>12.81</v>
      </c>
      <c r="N409" s="1">
        <v>5</v>
      </c>
      <c r="O409" s="1" t="s">
        <v>41</v>
      </c>
      <c r="P409" s="1" t="s">
        <v>2039</v>
      </c>
      <c r="Q409" s="1" t="s">
        <v>2040</v>
      </c>
      <c r="R409" s="1">
        <v>70</v>
      </c>
      <c r="S409" s="1">
        <v>91</v>
      </c>
      <c r="T409" s="1" t="s">
        <v>397</v>
      </c>
    </row>
    <row r="410" spans="1:20" x14ac:dyDescent="0.3">
      <c r="A410" s="1" t="s">
        <v>2041</v>
      </c>
      <c r="B410" s="1" t="s">
        <v>2042</v>
      </c>
      <c r="C410" s="1" t="s">
        <v>216</v>
      </c>
      <c r="D410" s="1" t="s">
        <v>327</v>
      </c>
      <c r="E410" s="1" t="s">
        <v>36</v>
      </c>
      <c r="F410" s="1" t="s">
        <v>133</v>
      </c>
      <c r="G410" s="1">
        <v>39</v>
      </c>
      <c r="H410" s="1" t="s">
        <v>26</v>
      </c>
      <c r="I410" s="1" t="s">
        <v>27</v>
      </c>
      <c r="J410" s="1" t="s">
        <v>950</v>
      </c>
      <c r="K410" s="1">
        <v>21.8</v>
      </c>
      <c r="L410" s="1">
        <v>1319793</v>
      </c>
      <c r="M410" s="1">
        <v>1.48</v>
      </c>
      <c r="N410" s="1">
        <v>3</v>
      </c>
      <c r="O410" s="1" t="s">
        <v>258</v>
      </c>
      <c r="P410" s="1" t="s">
        <v>2043</v>
      </c>
      <c r="Q410" s="1" t="s">
        <v>2044</v>
      </c>
      <c r="R410" s="1">
        <v>43</v>
      </c>
      <c r="S410" s="1">
        <v>47</v>
      </c>
      <c r="T410" s="1" t="s">
        <v>294</v>
      </c>
    </row>
    <row r="411" spans="1:20" x14ac:dyDescent="0.3">
      <c r="A411" s="1" t="s">
        <v>2045</v>
      </c>
      <c r="B411" s="1" t="s">
        <v>544</v>
      </c>
      <c r="C411" s="1" t="s">
        <v>35</v>
      </c>
      <c r="D411" s="1" t="s">
        <v>231</v>
      </c>
      <c r="E411" s="1" t="s">
        <v>60</v>
      </c>
      <c r="F411" s="1" t="s">
        <v>61</v>
      </c>
      <c r="G411" s="1">
        <v>58</v>
      </c>
      <c r="H411" s="1" t="s">
        <v>73</v>
      </c>
      <c r="I411" s="1" t="s">
        <v>85</v>
      </c>
      <c r="J411" s="1" t="s">
        <v>2046</v>
      </c>
      <c r="K411" s="1">
        <v>16.3</v>
      </c>
      <c r="L411" s="1">
        <v>1603585</v>
      </c>
      <c r="M411" s="1">
        <v>7.9</v>
      </c>
      <c r="N411" s="1">
        <v>3</v>
      </c>
      <c r="O411" s="1" t="s">
        <v>135</v>
      </c>
      <c r="P411" s="1" t="s">
        <v>2047</v>
      </c>
      <c r="Q411" s="1" t="s">
        <v>2048</v>
      </c>
      <c r="R411" s="1">
        <v>37</v>
      </c>
      <c r="S411" s="1">
        <v>63</v>
      </c>
      <c r="T411" s="1" t="s">
        <v>107</v>
      </c>
    </row>
    <row r="412" spans="1:20" x14ac:dyDescent="0.3">
      <c r="A412" s="1" t="s">
        <v>2049</v>
      </c>
      <c r="B412" s="1" t="s">
        <v>2050</v>
      </c>
      <c r="C412" s="1" t="s">
        <v>58</v>
      </c>
      <c r="D412" s="1" t="s">
        <v>101</v>
      </c>
      <c r="E412" s="1" t="s">
        <v>24</v>
      </c>
      <c r="F412" s="1" t="s">
        <v>61</v>
      </c>
      <c r="G412" s="1">
        <v>36</v>
      </c>
      <c r="H412" s="1" t="s">
        <v>26</v>
      </c>
      <c r="I412" s="1" t="s">
        <v>118</v>
      </c>
      <c r="J412" s="1" t="s">
        <v>2051</v>
      </c>
      <c r="K412" s="1">
        <v>27.9</v>
      </c>
      <c r="L412" s="1"/>
      <c r="M412" s="1">
        <v>11.98</v>
      </c>
      <c r="N412" s="1">
        <v>3</v>
      </c>
      <c r="O412" s="1" t="s">
        <v>41</v>
      </c>
      <c r="P412" s="1" t="s">
        <v>2052</v>
      </c>
      <c r="Q412" s="1" t="s">
        <v>2053</v>
      </c>
      <c r="R412" s="1">
        <v>6</v>
      </c>
      <c r="S412" s="1">
        <v>34</v>
      </c>
      <c r="T412" s="1" t="s">
        <v>812</v>
      </c>
    </row>
    <row r="413" spans="1:20" x14ac:dyDescent="0.3">
      <c r="A413" s="1" t="s">
        <v>677</v>
      </c>
      <c r="B413" s="1" t="s">
        <v>2054</v>
      </c>
      <c r="C413" s="1" t="s">
        <v>255</v>
      </c>
      <c r="D413" s="1" t="s">
        <v>111</v>
      </c>
      <c r="E413" s="1" t="s">
        <v>155</v>
      </c>
      <c r="F413" s="1" t="s">
        <v>190</v>
      </c>
      <c r="G413" s="1">
        <v>52</v>
      </c>
      <c r="H413" s="1" t="s">
        <v>38</v>
      </c>
      <c r="I413" s="1" t="s">
        <v>27</v>
      </c>
      <c r="J413" s="1" t="s">
        <v>2055</v>
      </c>
      <c r="K413" s="1">
        <v>26.2</v>
      </c>
      <c r="L413" s="1">
        <v>2424887</v>
      </c>
      <c r="M413" s="1">
        <v>4.16</v>
      </c>
      <c r="N413" s="1">
        <v>4</v>
      </c>
      <c r="O413" s="1" t="s">
        <v>41</v>
      </c>
      <c r="P413" s="1" t="s">
        <v>2056</v>
      </c>
      <c r="Q413" s="1" t="s">
        <v>2057</v>
      </c>
      <c r="R413" s="1">
        <v>72</v>
      </c>
      <c r="S413" s="1">
        <v>86</v>
      </c>
      <c r="T413" s="1" t="s">
        <v>152</v>
      </c>
    </row>
    <row r="414" spans="1:20" x14ac:dyDescent="0.3">
      <c r="A414" s="1" t="s">
        <v>2058</v>
      </c>
      <c r="B414" s="1" t="s">
        <v>1309</v>
      </c>
      <c r="C414" s="1" t="s">
        <v>255</v>
      </c>
      <c r="D414" s="1" t="s">
        <v>217</v>
      </c>
      <c r="E414" s="1" t="s">
        <v>24</v>
      </c>
      <c r="F414" s="1" t="s">
        <v>72</v>
      </c>
      <c r="G414" s="1">
        <v>58</v>
      </c>
      <c r="H414" s="1" t="s">
        <v>62</v>
      </c>
      <c r="I414" s="1" t="s">
        <v>125</v>
      </c>
      <c r="J414" s="1" t="s">
        <v>2059</v>
      </c>
      <c r="K414" s="1">
        <v>11.2</v>
      </c>
      <c r="L414" s="1">
        <v>2034380</v>
      </c>
      <c r="M414" s="1">
        <v>9.77</v>
      </c>
      <c r="N414" s="1">
        <v>1</v>
      </c>
      <c r="O414" s="1" t="s">
        <v>29</v>
      </c>
      <c r="P414" s="1" t="s">
        <v>2060</v>
      </c>
      <c r="Q414" s="1" t="s">
        <v>2061</v>
      </c>
      <c r="R414" s="1">
        <v>28</v>
      </c>
      <c r="S414" s="1">
        <v>16</v>
      </c>
      <c r="T414" s="1" t="s">
        <v>510</v>
      </c>
    </row>
    <row r="415" spans="1:20" x14ac:dyDescent="0.3">
      <c r="A415" s="1" t="s">
        <v>2062</v>
      </c>
      <c r="B415" s="1" t="s">
        <v>2063</v>
      </c>
      <c r="C415" s="1" t="s">
        <v>35</v>
      </c>
      <c r="D415" s="1" t="s">
        <v>111</v>
      </c>
      <c r="E415" s="1" t="s">
        <v>48</v>
      </c>
      <c r="F415" s="1" t="s">
        <v>49</v>
      </c>
      <c r="G415" s="1">
        <v>49</v>
      </c>
      <c r="H415" s="1" t="s">
        <v>26</v>
      </c>
      <c r="I415" s="1" t="s">
        <v>27</v>
      </c>
      <c r="J415" s="1" t="s">
        <v>2064</v>
      </c>
      <c r="K415" s="1">
        <v>8.8000000000000007</v>
      </c>
      <c r="L415" s="1">
        <v>741199</v>
      </c>
      <c r="M415" s="1">
        <v>12.14</v>
      </c>
      <c r="N415" s="1">
        <v>3</v>
      </c>
      <c r="O415" s="1" t="s">
        <v>41</v>
      </c>
      <c r="P415" s="1" t="s">
        <v>2065</v>
      </c>
      <c r="Q415" s="1" t="s">
        <v>2066</v>
      </c>
      <c r="R415" s="1">
        <v>28</v>
      </c>
      <c r="S415" s="1">
        <v>85</v>
      </c>
      <c r="T415" s="1" t="s">
        <v>335</v>
      </c>
    </row>
    <row r="416" spans="1:20" x14ac:dyDescent="0.3">
      <c r="A416" s="1" t="s">
        <v>2067</v>
      </c>
      <c r="B416" s="1" t="s">
        <v>1152</v>
      </c>
      <c r="C416" s="1" t="s">
        <v>46</v>
      </c>
      <c r="D416" s="1" t="s">
        <v>182</v>
      </c>
      <c r="E416" s="1" t="s">
        <v>189</v>
      </c>
      <c r="F416" s="1" t="s">
        <v>49</v>
      </c>
      <c r="G416" s="1">
        <v>42</v>
      </c>
      <c r="H416" s="1" t="s">
        <v>38</v>
      </c>
      <c r="I416" s="1" t="s">
        <v>125</v>
      </c>
      <c r="J416" s="1" t="s">
        <v>2068</v>
      </c>
      <c r="K416" s="1">
        <v>15.8</v>
      </c>
      <c r="L416" s="1">
        <v>1513503</v>
      </c>
      <c r="M416" s="1">
        <v>3.24</v>
      </c>
      <c r="N416" s="1">
        <v>3</v>
      </c>
      <c r="O416" s="1" t="s">
        <v>41</v>
      </c>
      <c r="P416" s="1" t="s">
        <v>2069</v>
      </c>
      <c r="Q416" s="1" t="s">
        <v>2070</v>
      </c>
      <c r="R416" s="1">
        <v>47</v>
      </c>
      <c r="S416" s="1">
        <v>110</v>
      </c>
      <c r="T416" s="1" t="s">
        <v>425</v>
      </c>
    </row>
    <row r="417" spans="1:20" x14ac:dyDescent="0.3">
      <c r="A417" s="1" t="s">
        <v>2071</v>
      </c>
      <c r="B417" s="1" t="s">
        <v>2072</v>
      </c>
      <c r="C417" s="1" t="s">
        <v>124</v>
      </c>
      <c r="D417" s="1" t="s">
        <v>256</v>
      </c>
      <c r="E417" s="1" t="s">
        <v>168</v>
      </c>
      <c r="F417" s="1" t="s">
        <v>25</v>
      </c>
      <c r="G417" s="1">
        <v>35</v>
      </c>
      <c r="H417" s="1" t="s">
        <v>73</v>
      </c>
      <c r="I417" s="1" t="s">
        <v>118</v>
      </c>
      <c r="J417" s="1" t="s">
        <v>2073</v>
      </c>
      <c r="K417" s="1">
        <v>29.4</v>
      </c>
      <c r="L417" s="1">
        <v>445496</v>
      </c>
      <c r="M417" s="1">
        <v>3.9</v>
      </c>
      <c r="N417" s="1">
        <v>2</v>
      </c>
      <c r="O417" s="1" t="s">
        <v>29</v>
      </c>
      <c r="P417" s="1" t="s">
        <v>2074</v>
      </c>
      <c r="Q417" s="1" t="s">
        <v>2075</v>
      </c>
      <c r="R417" s="1">
        <v>69</v>
      </c>
      <c r="S417" s="1">
        <v>42</v>
      </c>
      <c r="T417" s="1" t="s">
        <v>152</v>
      </c>
    </row>
    <row r="418" spans="1:20" x14ac:dyDescent="0.3">
      <c r="A418" s="1" t="s">
        <v>2076</v>
      </c>
      <c r="B418" s="1" t="s">
        <v>2077</v>
      </c>
      <c r="C418" s="1" t="s">
        <v>35</v>
      </c>
      <c r="D418" s="1" t="s">
        <v>111</v>
      </c>
      <c r="E418" s="1" t="s">
        <v>36</v>
      </c>
      <c r="F418" s="1" t="s">
        <v>72</v>
      </c>
      <c r="G418" s="1">
        <v>42</v>
      </c>
      <c r="H418" s="1" t="s">
        <v>38</v>
      </c>
      <c r="I418" s="1" t="s">
        <v>27</v>
      </c>
      <c r="J418" s="1" t="s">
        <v>2078</v>
      </c>
      <c r="K418" s="1">
        <v>28.7</v>
      </c>
      <c r="L418" s="1">
        <v>2167372</v>
      </c>
      <c r="M418" s="1">
        <v>22.58</v>
      </c>
      <c r="N418" s="1">
        <v>3</v>
      </c>
      <c r="O418" s="1" t="s">
        <v>76</v>
      </c>
      <c r="P418" s="1" t="s">
        <v>2079</v>
      </c>
      <c r="Q418" s="1" t="s">
        <v>2080</v>
      </c>
      <c r="R418" s="1">
        <v>0</v>
      </c>
      <c r="S418" s="1">
        <v>84</v>
      </c>
      <c r="T418" s="1" t="s">
        <v>904</v>
      </c>
    </row>
    <row r="419" spans="1:20" x14ac:dyDescent="0.3">
      <c r="A419" s="1" t="s">
        <v>2081</v>
      </c>
      <c r="B419" s="1" t="s">
        <v>2082</v>
      </c>
      <c r="C419" s="1" t="s">
        <v>58</v>
      </c>
      <c r="D419" s="1" t="s">
        <v>327</v>
      </c>
      <c r="E419" s="1" t="s">
        <v>102</v>
      </c>
      <c r="F419" s="1" t="s">
        <v>61</v>
      </c>
      <c r="G419" s="1">
        <v>44</v>
      </c>
      <c r="H419" s="1" t="s">
        <v>38</v>
      </c>
      <c r="I419" s="1" t="s">
        <v>39</v>
      </c>
      <c r="J419" s="1" t="s">
        <v>2083</v>
      </c>
      <c r="K419" s="1">
        <v>2.5</v>
      </c>
      <c r="L419" s="1">
        <v>686395</v>
      </c>
      <c r="M419" s="1">
        <v>16.41</v>
      </c>
      <c r="N419" s="1">
        <v>4</v>
      </c>
      <c r="O419" s="1" t="s">
        <v>135</v>
      </c>
      <c r="P419" s="1" t="s">
        <v>2084</v>
      </c>
      <c r="Q419" s="1" t="s">
        <v>2085</v>
      </c>
      <c r="R419" s="1">
        <v>78</v>
      </c>
      <c r="S419" s="1">
        <v>12</v>
      </c>
      <c r="T419" s="1" t="s">
        <v>510</v>
      </c>
    </row>
    <row r="420" spans="1:20" x14ac:dyDescent="0.3">
      <c r="A420" s="1" t="s">
        <v>2086</v>
      </c>
      <c r="B420" s="1" t="s">
        <v>2087</v>
      </c>
      <c r="C420" s="1" t="s">
        <v>100</v>
      </c>
      <c r="D420" s="1" t="s">
        <v>23</v>
      </c>
      <c r="E420" s="1" t="s">
        <v>168</v>
      </c>
      <c r="F420" s="1" t="s">
        <v>37</v>
      </c>
      <c r="G420" s="1">
        <v>50</v>
      </c>
      <c r="H420" s="1" t="s">
        <v>218</v>
      </c>
      <c r="I420" s="1" t="s">
        <v>51</v>
      </c>
      <c r="J420" s="1" t="s">
        <v>2088</v>
      </c>
      <c r="K420" s="1">
        <v>21.9</v>
      </c>
      <c r="L420" s="1">
        <v>387270</v>
      </c>
      <c r="M420" s="1">
        <v>24</v>
      </c>
      <c r="N420" s="1">
        <v>3</v>
      </c>
      <c r="O420" s="1" t="s">
        <v>258</v>
      </c>
      <c r="P420" s="1" t="s">
        <v>2089</v>
      </c>
      <c r="Q420" s="1" t="s">
        <v>2090</v>
      </c>
      <c r="R420" s="1">
        <v>46</v>
      </c>
      <c r="S420" s="1">
        <v>102</v>
      </c>
      <c r="T420" s="1" t="s">
        <v>548</v>
      </c>
    </row>
    <row r="421" spans="1:20" x14ac:dyDescent="0.3">
      <c r="A421" s="1" t="s">
        <v>522</v>
      </c>
      <c r="B421" s="1" t="s">
        <v>2091</v>
      </c>
      <c r="C421" s="1" t="s">
        <v>216</v>
      </c>
      <c r="D421" s="1" t="s">
        <v>101</v>
      </c>
      <c r="E421" s="1" t="s">
        <v>290</v>
      </c>
      <c r="F421" s="1" t="s">
        <v>72</v>
      </c>
      <c r="G421" s="1">
        <v>23</v>
      </c>
      <c r="H421" s="1" t="s">
        <v>218</v>
      </c>
      <c r="I421" s="1" t="s">
        <v>27</v>
      </c>
      <c r="J421" s="1" t="s">
        <v>2092</v>
      </c>
      <c r="K421" s="1">
        <v>7.7</v>
      </c>
      <c r="L421" s="1">
        <v>1229442</v>
      </c>
      <c r="M421" s="1">
        <v>6.29</v>
      </c>
      <c r="N421" s="1">
        <v>3</v>
      </c>
      <c r="O421" s="1" t="s">
        <v>64</v>
      </c>
      <c r="P421" s="1" t="s">
        <v>2093</v>
      </c>
      <c r="Q421" s="1" t="s">
        <v>2094</v>
      </c>
      <c r="R421" s="1">
        <v>24</v>
      </c>
      <c r="S421" s="1">
        <v>95</v>
      </c>
      <c r="T421" s="1" t="s">
        <v>722</v>
      </c>
    </row>
    <row r="422" spans="1:20" x14ac:dyDescent="0.3">
      <c r="A422" s="1" t="s">
        <v>2095</v>
      </c>
      <c r="B422" s="1" t="s">
        <v>2096</v>
      </c>
      <c r="C422" s="1" t="s">
        <v>35</v>
      </c>
      <c r="D422" s="1" t="s">
        <v>59</v>
      </c>
      <c r="E422" s="1" t="s">
        <v>60</v>
      </c>
      <c r="F422" s="1" t="s">
        <v>49</v>
      </c>
      <c r="G422" s="1">
        <v>49</v>
      </c>
      <c r="H422" s="1" t="s">
        <v>204</v>
      </c>
      <c r="I422" s="1" t="s">
        <v>118</v>
      </c>
      <c r="J422" s="1" t="s">
        <v>2097</v>
      </c>
      <c r="K422" s="1">
        <v>19.399999999999999</v>
      </c>
      <c r="L422" s="1">
        <v>455582</v>
      </c>
      <c r="M422" s="1">
        <v>7.61</v>
      </c>
      <c r="N422" s="1">
        <v>4</v>
      </c>
      <c r="O422" s="1" t="s">
        <v>29</v>
      </c>
      <c r="P422" s="1" t="s">
        <v>2098</v>
      </c>
      <c r="Q422" s="1" t="s">
        <v>2099</v>
      </c>
      <c r="R422" s="1"/>
      <c r="S422" s="1">
        <v>35</v>
      </c>
      <c r="T422" s="1" t="s">
        <v>408</v>
      </c>
    </row>
    <row r="423" spans="1:20" x14ac:dyDescent="0.3">
      <c r="A423" s="1" t="s">
        <v>797</v>
      </c>
      <c r="B423" s="1" t="s">
        <v>1671</v>
      </c>
      <c r="C423" s="1" t="s">
        <v>46</v>
      </c>
      <c r="D423" s="1" t="s">
        <v>83</v>
      </c>
      <c r="E423" s="1" t="s">
        <v>48</v>
      </c>
      <c r="F423" s="1" t="s">
        <v>25</v>
      </c>
      <c r="G423" s="1">
        <v>29</v>
      </c>
      <c r="H423" s="1" t="s">
        <v>218</v>
      </c>
      <c r="I423" s="1" t="s">
        <v>198</v>
      </c>
      <c r="J423" s="1" t="s">
        <v>2100</v>
      </c>
      <c r="K423" s="1">
        <v>27</v>
      </c>
      <c r="L423" s="1">
        <v>610596</v>
      </c>
      <c r="M423" s="1">
        <v>17.8</v>
      </c>
      <c r="N423" s="1">
        <v>3</v>
      </c>
      <c r="O423" s="1" t="s">
        <v>64</v>
      </c>
      <c r="P423" s="1" t="s">
        <v>2101</v>
      </c>
      <c r="Q423" s="1" t="s">
        <v>2102</v>
      </c>
      <c r="R423" s="1">
        <v>22</v>
      </c>
      <c r="S423" s="1">
        <v>65</v>
      </c>
      <c r="T423" s="1" t="s">
        <v>893</v>
      </c>
    </row>
    <row r="424" spans="1:20" x14ac:dyDescent="0.3">
      <c r="A424" s="1" t="s">
        <v>2103</v>
      </c>
      <c r="B424" s="1" t="s">
        <v>1592</v>
      </c>
      <c r="C424" s="1" t="s">
        <v>216</v>
      </c>
      <c r="D424" s="1" t="s">
        <v>111</v>
      </c>
      <c r="E424" s="1" t="s">
        <v>290</v>
      </c>
      <c r="F424" s="1" t="s">
        <v>61</v>
      </c>
      <c r="G424" s="1">
        <v>39</v>
      </c>
      <c r="H424" s="1" t="s">
        <v>218</v>
      </c>
      <c r="I424" s="1" t="s">
        <v>85</v>
      </c>
      <c r="J424" s="1" t="s">
        <v>2104</v>
      </c>
      <c r="K424" s="1">
        <v>25.4</v>
      </c>
      <c r="L424" s="1">
        <v>1221132</v>
      </c>
      <c r="M424" s="1">
        <v>22.86</v>
      </c>
      <c r="N424" s="1">
        <v>5</v>
      </c>
      <c r="O424" s="1" t="s">
        <v>135</v>
      </c>
      <c r="P424" s="1" t="s">
        <v>2105</v>
      </c>
      <c r="Q424" s="1" t="s">
        <v>2106</v>
      </c>
      <c r="R424" s="1">
        <v>33</v>
      </c>
      <c r="S424" s="1">
        <v>95</v>
      </c>
      <c r="T424" s="1" t="s">
        <v>778</v>
      </c>
    </row>
    <row r="425" spans="1:20" x14ac:dyDescent="0.3">
      <c r="A425" s="1" t="s">
        <v>2107</v>
      </c>
      <c r="B425" s="1" t="s">
        <v>2108</v>
      </c>
      <c r="C425" s="1" t="s">
        <v>22</v>
      </c>
      <c r="D425" s="1" t="s">
        <v>256</v>
      </c>
      <c r="E425" s="1" t="s">
        <v>24</v>
      </c>
      <c r="F425" s="1" t="s">
        <v>37</v>
      </c>
      <c r="G425" s="1">
        <v>31</v>
      </c>
      <c r="H425" s="1" t="s">
        <v>84</v>
      </c>
      <c r="I425" s="1" t="s">
        <v>118</v>
      </c>
      <c r="J425" s="1" t="s">
        <v>2109</v>
      </c>
      <c r="K425" s="1">
        <v>7.5</v>
      </c>
      <c r="L425" s="1">
        <v>357247</v>
      </c>
      <c r="M425" s="1">
        <v>3.81</v>
      </c>
      <c r="N425" s="1">
        <v>3</v>
      </c>
      <c r="O425" s="1" t="s">
        <v>41</v>
      </c>
      <c r="P425" s="1" t="s">
        <v>2110</v>
      </c>
      <c r="Q425" s="1" t="s">
        <v>2111</v>
      </c>
      <c r="R425" s="1">
        <v>31</v>
      </c>
      <c r="S425" s="1">
        <v>14</v>
      </c>
      <c r="T425" s="1" t="s">
        <v>1280</v>
      </c>
    </row>
    <row r="426" spans="1:20" x14ac:dyDescent="0.3">
      <c r="A426" s="1" t="s">
        <v>2112</v>
      </c>
      <c r="B426" s="1" t="s">
        <v>2113</v>
      </c>
      <c r="C426" s="1" t="s">
        <v>100</v>
      </c>
      <c r="D426" s="1" t="s">
        <v>256</v>
      </c>
      <c r="E426" s="1" t="s">
        <v>290</v>
      </c>
      <c r="F426" s="1" t="s">
        <v>25</v>
      </c>
      <c r="G426" s="1">
        <v>49</v>
      </c>
      <c r="H426" s="1" t="s">
        <v>218</v>
      </c>
      <c r="I426" s="1" t="s">
        <v>125</v>
      </c>
      <c r="J426" s="1" t="s">
        <v>2114</v>
      </c>
      <c r="K426" s="1">
        <v>3</v>
      </c>
      <c r="L426" s="1">
        <v>2050352</v>
      </c>
      <c r="M426" s="1">
        <v>7.7</v>
      </c>
      <c r="N426" s="1">
        <v>3</v>
      </c>
      <c r="O426" s="1" t="s">
        <v>41</v>
      </c>
      <c r="P426" s="1" t="s">
        <v>2115</v>
      </c>
      <c r="Q426" s="1" t="s">
        <v>2116</v>
      </c>
      <c r="R426" s="1">
        <v>65</v>
      </c>
      <c r="S426" s="1">
        <v>96</v>
      </c>
      <c r="T426" s="1" t="s">
        <v>287</v>
      </c>
    </row>
    <row r="427" spans="1:20" x14ac:dyDescent="0.3">
      <c r="A427" s="1" t="s">
        <v>138</v>
      </c>
      <c r="B427" s="1" t="s">
        <v>2117</v>
      </c>
      <c r="C427" s="1" t="s">
        <v>132</v>
      </c>
      <c r="D427" s="1" t="s">
        <v>141</v>
      </c>
      <c r="E427" s="1" t="s">
        <v>24</v>
      </c>
      <c r="F427" s="1" t="s">
        <v>49</v>
      </c>
      <c r="G427" s="1">
        <v>25</v>
      </c>
      <c r="H427" s="1" t="s">
        <v>62</v>
      </c>
      <c r="I427" s="1" t="s">
        <v>51</v>
      </c>
      <c r="J427" s="1" t="s">
        <v>2118</v>
      </c>
      <c r="K427" s="1">
        <v>28.5</v>
      </c>
      <c r="L427" s="1">
        <v>1096114</v>
      </c>
      <c r="M427" s="1">
        <v>5.13</v>
      </c>
      <c r="N427" s="1">
        <v>5</v>
      </c>
      <c r="O427" s="1" t="s">
        <v>76</v>
      </c>
      <c r="P427" s="1" t="s">
        <v>2119</v>
      </c>
      <c r="Q427" s="1" t="s">
        <v>2120</v>
      </c>
      <c r="R427" s="1">
        <v>70</v>
      </c>
      <c r="S427" s="1">
        <v>27</v>
      </c>
      <c r="T427" s="1" t="s">
        <v>594</v>
      </c>
    </row>
    <row r="428" spans="1:20" x14ac:dyDescent="0.3">
      <c r="A428" s="1" t="s">
        <v>2121</v>
      </c>
      <c r="B428" s="1" t="s">
        <v>68</v>
      </c>
      <c r="C428" s="1" t="s">
        <v>58</v>
      </c>
      <c r="D428" s="1" t="s">
        <v>59</v>
      </c>
      <c r="E428" s="1" t="s">
        <v>24</v>
      </c>
      <c r="F428" s="1" t="s">
        <v>37</v>
      </c>
      <c r="G428" s="1">
        <v>56</v>
      </c>
      <c r="H428" s="1" t="s">
        <v>50</v>
      </c>
      <c r="I428" s="1" t="s">
        <v>118</v>
      </c>
      <c r="J428" s="1" t="s">
        <v>2122</v>
      </c>
      <c r="K428" s="1">
        <v>11.4</v>
      </c>
      <c r="L428" s="1">
        <v>2240021</v>
      </c>
      <c r="M428" s="1">
        <v>1.42</v>
      </c>
      <c r="N428" s="1">
        <v>3</v>
      </c>
      <c r="O428" s="1" t="s">
        <v>41</v>
      </c>
      <c r="P428" s="1" t="s">
        <v>2123</v>
      </c>
      <c r="Q428" s="1" t="s">
        <v>2124</v>
      </c>
      <c r="R428" s="1">
        <v>6</v>
      </c>
      <c r="S428" s="1">
        <v>108</v>
      </c>
      <c r="T428" s="1" t="s">
        <v>425</v>
      </c>
    </row>
    <row r="429" spans="1:20" x14ac:dyDescent="0.3">
      <c r="A429" s="1" t="s">
        <v>360</v>
      </c>
      <c r="B429" s="1" t="s">
        <v>2125</v>
      </c>
      <c r="C429" s="1" t="s">
        <v>197</v>
      </c>
      <c r="D429" s="1" t="s">
        <v>182</v>
      </c>
      <c r="E429" s="1" t="s">
        <v>24</v>
      </c>
      <c r="F429" s="1" t="s">
        <v>61</v>
      </c>
      <c r="G429" s="1">
        <v>53</v>
      </c>
      <c r="H429" s="1" t="s">
        <v>73</v>
      </c>
      <c r="I429" s="1" t="s">
        <v>85</v>
      </c>
      <c r="J429" s="1" t="s">
        <v>2126</v>
      </c>
      <c r="K429" s="1">
        <v>16.7</v>
      </c>
      <c r="L429" s="1">
        <v>1979618</v>
      </c>
      <c r="M429" s="1">
        <v>4.6900000000000004</v>
      </c>
      <c r="N429" s="1">
        <v>3</v>
      </c>
      <c r="O429" s="1" t="s">
        <v>76</v>
      </c>
      <c r="P429" s="1" t="s">
        <v>2127</v>
      </c>
      <c r="Q429" s="1" t="s">
        <v>2128</v>
      </c>
      <c r="R429" s="1">
        <v>63</v>
      </c>
      <c r="S429" s="1">
        <v>97</v>
      </c>
      <c r="T429" s="1" t="s">
        <v>288</v>
      </c>
    </row>
    <row r="430" spans="1:20" x14ac:dyDescent="0.3">
      <c r="A430" s="1" t="s">
        <v>2129</v>
      </c>
      <c r="B430" s="1" t="s">
        <v>870</v>
      </c>
      <c r="C430" s="1" t="s">
        <v>216</v>
      </c>
      <c r="D430" s="1" t="s">
        <v>23</v>
      </c>
      <c r="E430" s="1" t="s">
        <v>71</v>
      </c>
      <c r="F430" s="1" t="s">
        <v>49</v>
      </c>
      <c r="G430" s="1">
        <v>45</v>
      </c>
      <c r="H430" s="1" t="s">
        <v>142</v>
      </c>
      <c r="I430" s="1" t="s">
        <v>39</v>
      </c>
      <c r="J430" s="1" t="s">
        <v>2130</v>
      </c>
      <c r="K430" s="1">
        <v>6.8</v>
      </c>
      <c r="L430" s="1">
        <v>1751193</v>
      </c>
      <c r="M430" s="1">
        <v>2.35</v>
      </c>
      <c r="N430" s="1">
        <v>1</v>
      </c>
      <c r="O430" s="1" t="s">
        <v>41</v>
      </c>
      <c r="P430" s="1" t="s">
        <v>2131</v>
      </c>
      <c r="Q430" s="1" t="s">
        <v>2132</v>
      </c>
      <c r="R430" s="1">
        <v>32</v>
      </c>
      <c r="S430" s="1">
        <v>1</v>
      </c>
      <c r="T430" s="1" t="s">
        <v>309</v>
      </c>
    </row>
    <row r="431" spans="1:20" x14ac:dyDescent="0.3">
      <c r="A431" s="1" t="s">
        <v>2133</v>
      </c>
      <c r="B431" s="1" t="s">
        <v>2134</v>
      </c>
      <c r="C431" s="1" t="s">
        <v>124</v>
      </c>
      <c r="D431" s="1" t="s">
        <v>231</v>
      </c>
      <c r="E431" s="1" t="s">
        <v>71</v>
      </c>
      <c r="F431" s="1" t="s">
        <v>61</v>
      </c>
      <c r="G431" s="1">
        <v>24</v>
      </c>
      <c r="H431" s="1" t="s">
        <v>218</v>
      </c>
      <c r="I431" s="1" t="s">
        <v>51</v>
      </c>
      <c r="J431" s="1" t="s">
        <v>2135</v>
      </c>
      <c r="K431" s="1">
        <v>8.3000000000000007</v>
      </c>
      <c r="L431" s="1">
        <v>2345319</v>
      </c>
      <c r="M431" s="1">
        <v>13.03</v>
      </c>
      <c r="N431" s="1">
        <v>3</v>
      </c>
      <c r="O431" s="1" t="s">
        <v>258</v>
      </c>
      <c r="P431" s="1" t="s">
        <v>95</v>
      </c>
      <c r="Q431" s="1" t="s">
        <v>2136</v>
      </c>
      <c r="R431" s="1">
        <v>33</v>
      </c>
      <c r="S431" s="1">
        <v>72</v>
      </c>
      <c r="T431" s="1" t="s">
        <v>505</v>
      </c>
    </row>
    <row r="432" spans="1:20" x14ac:dyDescent="0.3">
      <c r="A432" s="1" t="s">
        <v>2137</v>
      </c>
      <c r="B432" s="1" t="s">
        <v>2138</v>
      </c>
      <c r="C432" s="1" t="s">
        <v>69</v>
      </c>
      <c r="D432" s="1" t="s">
        <v>111</v>
      </c>
      <c r="E432" s="1" t="s">
        <v>175</v>
      </c>
      <c r="F432" s="1" t="s">
        <v>49</v>
      </c>
      <c r="G432" s="1">
        <v>48</v>
      </c>
      <c r="H432" s="1" t="s">
        <v>62</v>
      </c>
      <c r="I432" s="1" t="s">
        <v>125</v>
      </c>
      <c r="J432" s="1" t="s">
        <v>2139</v>
      </c>
      <c r="K432" s="1">
        <v>21.2</v>
      </c>
      <c r="L432" s="1">
        <v>1469800</v>
      </c>
      <c r="M432" s="1">
        <v>4.67</v>
      </c>
      <c r="N432" s="1">
        <v>3</v>
      </c>
      <c r="O432" s="1" t="s">
        <v>41</v>
      </c>
      <c r="P432" s="1" t="s">
        <v>2140</v>
      </c>
      <c r="Q432" s="1" t="s">
        <v>2141</v>
      </c>
      <c r="R432" s="1">
        <v>69</v>
      </c>
      <c r="S432" s="1">
        <v>33</v>
      </c>
      <c r="T432" s="1" t="s">
        <v>510</v>
      </c>
    </row>
    <row r="433" spans="1:20" x14ac:dyDescent="0.3">
      <c r="A433" s="1" t="s">
        <v>2142</v>
      </c>
      <c r="B433" s="1" t="s">
        <v>2143</v>
      </c>
      <c r="C433" s="1" t="s">
        <v>22</v>
      </c>
      <c r="D433" s="1" t="s">
        <v>23</v>
      </c>
      <c r="E433" s="1" t="s">
        <v>155</v>
      </c>
      <c r="F433" s="1" t="s">
        <v>72</v>
      </c>
      <c r="G433" s="1">
        <v>46</v>
      </c>
      <c r="H433" s="1" t="s">
        <v>218</v>
      </c>
      <c r="I433" s="1" t="s">
        <v>27</v>
      </c>
      <c r="J433" s="1" t="s">
        <v>2144</v>
      </c>
      <c r="K433" s="1">
        <v>12.3</v>
      </c>
      <c r="L433" s="1">
        <v>1716841</v>
      </c>
      <c r="M433" s="1">
        <v>19.8</v>
      </c>
      <c r="N433" s="1">
        <v>5</v>
      </c>
      <c r="O433" s="1" t="s">
        <v>135</v>
      </c>
      <c r="P433" s="1" t="s">
        <v>2145</v>
      </c>
      <c r="Q433" s="1" t="s">
        <v>2146</v>
      </c>
      <c r="R433" s="1">
        <v>39</v>
      </c>
      <c r="S433" s="1">
        <v>18</v>
      </c>
      <c r="T433" s="1" t="s">
        <v>66</v>
      </c>
    </row>
    <row r="434" spans="1:20" x14ac:dyDescent="0.3">
      <c r="A434" s="1" t="s">
        <v>2147</v>
      </c>
      <c r="B434" s="1" t="s">
        <v>2148</v>
      </c>
      <c r="C434" s="1" t="s">
        <v>124</v>
      </c>
      <c r="D434" s="1" t="s">
        <v>141</v>
      </c>
      <c r="E434" s="1" t="s">
        <v>92</v>
      </c>
      <c r="F434" s="1" t="s">
        <v>37</v>
      </c>
      <c r="G434" s="1">
        <v>46</v>
      </c>
      <c r="H434" s="1" t="s">
        <v>103</v>
      </c>
      <c r="I434" s="1" t="s">
        <v>85</v>
      </c>
      <c r="J434" s="1" t="s">
        <v>2149</v>
      </c>
      <c r="K434" s="1"/>
      <c r="L434" s="1">
        <v>-99999</v>
      </c>
      <c r="M434" s="1">
        <v>0.41</v>
      </c>
      <c r="N434" s="1">
        <v>5</v>
      </c>
      <c r="O434" s="1" t="s">
        <v>41</v>
      </c>
      <c r="P434" s="1" t="s">
        <v>2150</v>
      </c>
      <c r="Q434" s="1" t="s">
        <v>2151</v>
      </c>
      <c r="R434" s="1">
        <v>56</v>
      </c>
      <c r="S434" s="1">
        <v>51</v>
      </c>
      <c r="T434" s="1" t="s">
        <v>884</v>
      </c>
    </row>
    <row r="435" spans="1:20" x14ac:dyDescent="0.3">
      <c r="A435" s="1" t="s">
        <v>2152</v>
      </c>
      <c r="B435" s="1" t="s">
        <v>2153</v>
      </c>
      <c r="C435" s="1" t="s">
        <v>230</v>
      </c>
      <c r="D435" s="1" t="s">
        <v>111</v>
      </c>
      <c r="E435" s="1" t="s">
        <v>48</v>
      </c>
      <c r="F435" s="1" t="s">
        <v>133</v>
      </c>
      <c r="G435" s="1">
        <v>28</v>
      </c>
      <c r="H435" s="1" t="s">
        <v>62</v>
      </c>
      <c r="I435" s="1" t="s">
        <v>125</v>
      </c>
      <c r="J435" s="1" t="s">
        <v>2154</v>
      </c>
      <c r="K435" s="1">
        <v>21.6</v>
      </c>
      <c r="L435" s="1">
        <v>358654</v>
      </c>
      <c r="M435" s="1">
        <v>16.84</v>
      </c>
      <c r="N435" s="1">
        <v>2</v>
      </c>
      <c r="O435" s="1" t="s">
        <v>64</v>
      </c>
      <c r="P435" s="1" t="s">
        <v>2155</v>
      </c>
      <c r="Q435" s="1" t="s">
        <v>2156</v>
      </c>
      <c r="R435" s="1">
        <v>45</v>
      </c>
      <c r="S435" s="1">
        <v>54</v>
      </c>
      <c r="T435" s="1" t="s">
        <v>201</v>
      </c>
    </row>
    <row r="436" spans="1:20" x14ac:dyDescent="0.3">
      <c r="A436" s="1" t="s">
        <v>2157</v>
      </c>
      <c r="B436" s="1" t="s">
        <v>2158</v>
      </c>
      <c r="C436" s="1" t="s">
        <v>35</v>
      </c>
      <c r="D436" s="1" t="s">
        <v>101</v>
      </c>
      <c r="E436" s="1" t="s">
        <v>60</v>
      </c>
      <c r="F436" s="1" t="s">
        <v>49</v>
      </c>
      <c r="G436" s="1">
        <v>48</v>
      </c>
      <c r="H436" s="1" t="s">
        <v>73</v>
      </c>
      <c r="I436" s="1" t="s">
        <v>125</v>
      </c>
      <c r="J436" s="1" t="s">
        <v>2159</v>
      </c>
      <c r="K436" s="1">
        <v>16.600000000000001</v>
      </c>
      <c r="L436" s="1">
        <v>591825</v>
      </c>
      <c r="M436" s="1">
        <v>1.41</v>
      </c>
      <c r="N436" s="1">
        <v>2</v>
      </c>
      <c r="O436" s="1" t="s">
        <v>258</v>
      </c>
      <c r="P436" s="1" t="s">
        <v>2160</v>
      </c>
      <c r="Q436" s="1" t="s">
        <v>2161</v>
      </c>
      <c r="R436" s="1">
        <v>3</v>
      </c>
      <c r="S436" s="1">
        <v>107</v>
      </c>
      <c r="T436" s="1" t="s">
        <v>172</v>
      </c>
    </row>
    <row r="437" spans="1:20" x14ac:dyDescent="0.3">
      <c r="A437" s="1" t="s">
        <v>548</v>
      </c>
      <c r="B437" s="1" t="s">
        <v>611</v>
      </c>
      <c r="C437" s="1" t="s">
        <v>216</v>
      </c>
      <c r="D437" s="1" t="s">
        <v>182</v>
      </c>
      <c r="E437" s="1" t="s">
        <v>92</v>
      </c>
      <c r="F437" s="1" t="s">
        <v>72</v>
      </c>
      <c r="G437" s="1">
        <v>39</v>
      </c>
      <c r="H437" s="1" t="s">
        <v>218</v>
      </c>
      <c r="I437" s="1" t="s">
        <v>85</v>
      </c>
      <c r="J437" s="1" t="s">
        <v>2162</v>
      </c>
      <c r="K437" s="1">
        <v>3.1</v>
      </c>
      <c r="L437" s="1">
        <v>1329681</v>
      </c>
      <c r="M437" s="1">
        <v>6.46</v>
      </c>
      <c r="N437" s="1">
        <v>3</v>
      </c>
      <c r="O437" s="1" t="s">
        <v>258</v>
      </c>
      <c r="P437" s="1" t="s">
        <v>2163</v>
      </c>
      <c r="Q437" s="1" t="s">
        <v>2164</v>
      </c>
      <c r="R437" s="1">
        <v>76</v>
      </c>
      <c r="S437" s="1">
        <v>35</v>
      </c>
      <c r="T437" s="1"/>
    </row>
    <row r="438" spans="1:20" x14ac:dyDescent="0.3">
      <c r="A438" s="1" t="s">
        <v>2165</v>
      </c>
      <c r="B438" s="1" t="s">
        <v>316</v>
      </c>
      <c r="C438" s="1" t="s">
        <v>22</v>
      </c>
      <c r="D438" s="1" t="s">
        <v>70</v>
      </c>
      <c r="E438" s="1" t="s">
        <v>290</v>
      </c>
      <c r="F438" s="1" t="s">
        <v>25</v>
      </c>
      <c r="G438" s="1">
        <v>52</v>
      </c>
      <c r="H438" s="1" t="s">
        <v>73</v>
      </c>
      <c r="I438" s="1" t="s">
        <v>51</v>
      </c>
      <c r="J438" s="1" t="s">
        <v>2166</v>
      </c>
      <c r="K438" s="1">
        <v>27.9</v>
      </c>
      <c r="L438" s="1">
        <v>1559018</v>
      </c>
      <c r="M438" s="1">
        <v>24.13</v>
      </c>
      <c r="N438" s="1">
        <v>5</v>
      </c>
      <c r="O438" s="1" t="s">
        <v>29</v>
      </c>
      <c r="P438" s="1" t="s">
        <v>220</v>
      </c>
      <c r="Q438" s="1" t="s">
        <v>2167</v>
      </c>
      <c r="R438" s="1">
        <v>25</v>
      </c>
      <c r="S438" s="1">
        <v>72</v>
      </c>
      <c r="T438" s="1" t="s">
        <v>468</v>
      </c>
    </row>
    <row r="439" spans="1:20" x14ac:dyDescent="0.3">
      <c r="A439" s="1" t="s">
        <v>2168</v>
      </c>
      <c r="B439" s="1" t="s">
        <v>2169</v>
      </c>
      <c r="C439" s="1" t="s">
        <v>100</v>
      </c>
      <c r="D439" s="1" t="s">
        <v>182</v>
      </c>
      <c r="E439" s="1" t="s">
        <v>60</v>
      </c>
      <c r="F439" s="1" t="s">
        <v>72</v>
      </c>
      <c r="G439" s="1">
        <v>51</v>
      </c>
      <c r="H439" s="1" t="s">
        <v>103</v>
      </c>
      <c r="I439" s="1" t="s">
        <v>27</v>
      </c>
      <c r="J439" s="1" t="s">
        <v>2170</v>
      </c>
      <c r="K439" s="1">
        <v>9.5</v>
      </c>
      <c r="L439" s="1">
        <v>853456</v>
      </c>
      <c r="M439" s="1">
        <v>17.8</v>
      </c>
      <c r="N439" s="1">
        <v>1</v>
      </c>
      <c r="O439" s="1" t="s">
        <v>41</v>
      </c>
      <c r="P439" s="1" t="s">
        <v>2171</v>
      </c>
      <c r="Q439" s="1" t="s">
        <v>2172</v>
      </c>
      <c r="R439" s="1">
        <v>22</v>
      </c>
      <c r="S439" s="1">
        <v>88</v>
      </c>
      <c r="T439" s="1" t="s">
        <v>933</v>
      </c>
    </row>
    <row r="440" spans="1:20" x14ac:dyDescent="0.3">
      <c r="A440" s="1" t="s">
        <v>2173</v>
      </c>
      <c r="B440" s="1" t="s">
        <v>2174</v>
      </c>
      <c r="C440" s="1" t="s">
        <v>216</v>
      </c>
      <c r="D440" s="1" t="s">
        <v>23</v>
      </c>
      <c r="E440" s="1" t="s">
        <v>189</v>
      </c>
      <c r="F440" s="1" t="s">
        <v>37</v>
      </c>
      <c r="G440" s="1">
        <v>53</v>
      </c>
      <c r="H440" s="1" t="s">
        <v>26</v>
      </c>
      <c r="I440" s="1" t="s">
        <v>74</v>
      </c>
      <c r="J440" s="1" t="s">
        <v>2175</v>
      </c>
      <c r="K440" s="1">
        <v>12.9</v>
      </c>
      <c r="L440" s="1">
        <v>1462206</v>
      </c>
      <c r="M440" s="1">
        <v>20.03</v>
      </c>
      <c r="N440" s="1">
        <v>4</v>
      </c>
      <c r="O440" s="1" t="s">
        <v>41</v>
      </c>
      <c r="P440" s="1" t="s">
        <v>2176</v>
      </c>
      <c r="Q440" s="1" t="s">
        <v>2177</v>
      </c>
      <c r="R440" s="1">
        <v>8</v>
      </c>
      <c r="S440" s="1">
        <v>70</v>
      </c>
      <c r="T440" s="1" t="s">
        <v>722</v>
      </c>
    </row>
    <row r="441" spans="1:20" x14ac:dyDescent="0.3">
      <c r="A441" s="1" t="s">
        <v>2178</v>
      </c>
      <c r="B441" s="1" t="s">
        <v>2179</v>
      </c>
      <c r="C441" s="1" t="s">
        <v>230</v>
      </c>
      <c r="D441" s="1" t="s">
        <v>231</v>
      </c>
      <c r="E441" s="1" t="s">
        <v>175</v>
      </c>
      <c r="F441" s="1" t="s">
        <v>93</v>
      </c>
      <c r="G441" s="1">
        <v>15</v>
      </c>
      <c r="H441" s="1" t="s">
        <v>38</v>
      </c>
      <c r="I441" s="1" t="s">
        <v>125</v>
      </c>
      <c r="J441" s="1" t="s">
        <v>2180</v>
      </c>
      <c r="K441" s="1">
        <v>9.6999999999999993</v>
      </c>
      <c r="L441" s="1">
        <v>1690447</v>
      </c>
      <c r="M441" s="1">
        <v>11.17</v>
      </c>
      <c r="N441" s="1">
        <v>5</v>
      </c>
      <c r="O441" s="1" t="s">
        <v>41</v>
      </c>
      <c r="P441" s="1" t="s">
        <v>2181</v>
      </c>
      <c r="Q441" s="1" t="s">
        <v>2182</v>
      </c>
      <c r="R441" s="1">
        <v>22</v>
      </c>
      <c r="S441" s="1">
        <v>12</v>
      </c>
      <c r="T441" s="1" t="s">
        <v>778</v>
      </c>
    </row>
    <row r="442" spans="1:20" x14ac:dyDescent="0.3">
      <c r="A442" s="1" t="s">
        <v>2183</v>
      </c>
      <c r="B442" s="1" t="s">
        <v>2184</v>
      </c>
      <c r="C442" s="1" t="s">
        <v>110</v>
      </c>
      <c r="D442" s="1" t="s">
        <v>70</v>
      </c>
      <c r="E442" s="1" t="s">
        <v>24</v>
      </c>
      <c r="F442" s="1" t="s">
        <v>49</v>
      </c>
      <c r="G442" s="1">
        <v>41</v>
      </c>
      <c r="H442" s="1" t="s">
        <v>26</v>
      </c>
      <c r="I442" s="1" t="s">
        <v>51</v>
      </c>
      <c r="J442" s="1" t="s">
        <v>2185</v>
      </c>
      <c r="K442" s="1">
        <v>3.6</v>
      </c>
      <c r="L442" s="1">
        <v>945918</v>
      </c>
      <c r="M442" s="1">
        <v>7.68</v>
      </c>
      <c r="N442" s="1">
        <v>5</v>
      </c>
      <c r="O442" s="1" t="s">
        <v>29</v>
      </c>
      <c r="P442" s="1" t="s">
        <v>2186</v>
      </c>
      <c r="Q442" s="1" t="s">
        <v>2187</v>
      </c>
      <c r="R442" s="1">
        <v>13</v>
      </c>
      <c r="S442" s="1">
        <v>112</v>
      </c>
      <c r="T442" s="1" t="s">
        <v>573</v>
      </c>
    </row>
    <row r="443" spans="1:20" x14ac:dyDescent="0.3">
      <c r="A443" s="1" t="s">
        <v>2188</v>
      </c>
      <c r="B443" s="1" t="s">
        <v>2189</v>
      </c>
      <c r="C443" s="1" t="s">
        <v>216</v>
      </c>
      <c r="D443" s="1" t="s">
        <v>23</v>
      </c>
      <c r="E443" s="1" t="s">
        <v>71</v>
      </c>
      <c r="F443" s="1" t="s">
        <v>25</v>
      </c>
      <c r="G443" s="1">
        <v>33</v>
      </c>
      <c r="H443" s="1" t="s">
        <v>204</v>
      </c>
      <c r="I443" s="1" t="s">
        <v>118</v>
      </c>
      <c r="J443" s="1" t="s">
        <v>2190</v>
      </c>
      <c r="K443" s="1">
        <v>5.9</v>
      </c>
      <c r="L443" s="1">
        <v>863429</v>
      </c>
      <c r="M443" s="1">
        <v>22.82</v>
      </c>
      <c r="N443" s="1">
        <v>4</v>
      </c>
      <c r="O443" s="1" t="s">
        <v>41</v>
      </c>
      <c r="P443" s="1" t="s">
        <v>2191</v>
      </c>
      <c r="Q443" s="1" t="s">
        <v>2192</v>
      </c>
      <c r="R443" s="1">
        <v>21</v>
      </c>
      <c r="S443" s="1">
        <v>10</v>
      </c>
      <c r="T443" s="1" t="s">
        <v>1317</v>
      </c>
    </row>
    <row r="444" spans="1:20" x14ac:dyDescent="0.3">
      <c r="A444" s="1" t="s">
        <v>2193</v>
      </c>
      <c r="B444" s="1" t="s">
        <v>2194</v>
      </c>
      <c r="C444" s="1" t="s">
        <v>100</v>
      </c>
      <c r="D444" s="1" t="s">
        <v>23</v>
      </c>
      <c r="E444" s="1" t="s">
        <v>92</v>
      </c>
      <c r="F444" s="1" t="s">
        <v>133</v>
      </c>
      <c r="G444" s="1">
        <v>50</v>
      </c>
      <c r="H444" s="1" t="s">
        <v>26</v>
      </c>
      <c r="I444" s="1" t="s">
        <v>74</v>
      </c>
      <c r="J444" s="1" t="s">
        <v>2195</v>
      </c>
      <c r="K444" s="1">
        <v>5.5</v>
      </c>
      <c r="L444" s="1">
        <v>850616</v>
      </c>
      <c r="M444" s="1">
        <v>14.77</v>
      </c>
      <c r="N444" s="1">
        <v>4</v>
      </c>
      <c r="O444" s="1" t="s">
        <v>64</v>
      </c>
      <c r="P444" s="1" t="s">
        <v>2196</v>
      </c>
      <c r="Q444" s="1" t="s">
        <v>2197</v>
      </c>
      <c r="R444" s="1">
        <v>72</v>
      </c>
      <c r="S444" s="1">
        <v>81</v>
      </c>
      <c r="T444" s="1" t="s">
        <v>677</v>
      </c>
    </row>
    <row r="445" spans="1:20" x14ac:dyDescent="0.3">
      <c r="A445" s="1" t="s">
        <v>2198</v>
      </c>
      <c r="B445" s="1" t="s">
        <v>2199</v>
      </c>
      <c r="C445" s="1" t="s">
        <v>46</v>
      </c>
      <c r="D445" s="1" t="s">
        <v>244</v>
      </c>
      <c r="E445" s="1" t="s">
        <v>155</v>
      </c>
      <c r="F445" s="1" t="s">
        <v>190</v>
      </c>
      <c r="G445" s="1">
        <v>56</v>
      </c>
      <c r="H445" s="1" t="s">
        <v>38</v>
      </c>
      <c r="I445" s="1" t="s">
        <v>74</v>
      </c>
      <c r="J445" s="1" t="s">
        <v>2200</v>
      </c>
      <c r="K445" s="1">
        <v>14.2</v>
      </c>
      <c r="L445" s="1">
        <v>1036936</v>
      </c>
      <c r="M445" s="1">
        <v>12.29</v>
      </c>
      <c r="N445" s="1">
        <v>3</v>
      </c>
      <c r="O445" s="1" t="s">
        <v>258</v>
      </c>
      <c r="P445" s="1" t="s">
        <v>2201</v>
      </c>
      <c r="Q445" s="1" t="s">
        <v>2202</v>
      </c>
      <c r="R445" s="1">
        <v>50</v>
      </c>
      <c r="S445" s="1">
        <v>47</v>
      </c>
      <c r="T445" s="1" t="s">
        <v>2203</v>
      </c>
    </row>
    <row r="446" spans="1:20" x14ac:dyDescent="0.3">
      <c r="A446" s="1" t="s">
        <v>2204</v>
      </c>
      <c r="B446" s="1" t="s">
        <v>2205</v>
      </c>
      <c r="C446" s="1" t="s">
        <v>82</v>
      </c>
      <c r="D446" s="1" t="s">
        <v>111</v>
      </c>
      <c r="E446" s="1" t="s">
        <v>189</v>
      </c>
      <c r="F446" s="1" t="s">
        <v>37</v>
      </c>
      <c r="G446" s="1">
        <v>54</v>
      </c>
      <c r="H446" s="1" t="s">
        <v>84</v>
      </c>
      <c r="I446" s="1" t="s">
        <v>27</v>
      </c>
      <c r="J446" s="1" t="s">
        <v>2206</v>
      </c>
      <c r="K446" s="1">
        <v>9.5</v>
      </c>
      <c r="L446" s="1">
        <v>1769087</v>
      </c>
      <c r="M446" s="1">
        <v>1.3</v>
      </c>
      <c r="N446" s="1">
        <v>4</v>
      </c>
      <c r="O446" s="1" t="s">
        <v>29</v>
      </c>
      <c r="P446" s="1" t="s">
        <v>2207</v>
      </c>
      <c r="Q446" s="1" t="s">
        <v>2208</v>
      </c>
      <c r="R446" s="1">
        <v>16</v>
      </c>
      <c r="S446" s="1">
        <v>54</v>
      </c>
      <c r="T446" s="1" t="s">
        <v>696</v>
      </c>
    </row>
    <row r="447" spans="1:20" x14ac:dyDescent="0.3">
      <c r="A447" s="1" t="s">
        <v>2209</v>
      </c>
      <c r="B447" s="1" t="s">
        <v>2210</v>
      </c>
      <c r="C447" s="1" t="s">
        <v>216</v>
      </c>
      <c r="D447" s="1" t="s">
        <v>327</v>
      </c>
      <c r="E447" s="1" t="s">
        <v>189</v>
      </c>
      <c r="F447" s="1" t="s">
        <v>37</v>
      </c>
      <c r="G447" s="1">
        <v>38</v>
      </c>
      <c r="H447" s="1" t="s">
        <v>103</v>
      </c>
      <c r="I447" s="1" t="s">
        <v>39</v>
      </c>
      <c r="J447" s="1" t="s">
        <v>2211</v>
      </c>
      <c r="K447" s="1">
        <v>20.7</v>
      </c>
      <c r="L447" s="1">
        <v>990809</v>
      </c>
      <c r="M447" s="1">
        <v>8.7799999999999994</v>
      </c>
      <c r="N447" s="1">
        <v>3</v>
      </c>
      <c r="O447" s="1" t="s">
        <v>29</v>
      </c>
      <c r="P447" s="1" t="s">
        <v>2212</v>
      </c>
      <c r="Q447" s="1" t="s">
        <v>2213</v>
      </c>
      <c r="R447" s="1">
        <v>13</v>
      </c>
      <c r="S447" s="1">
        <v>82</v>
      </c>
      <c r="T447" s="1" t="s">
        <v>146</v>
      </c>
    </row>
    <row r="448" spans="1:20" x14ac:dyDescent="0.3">
      <c r="A448" s="1" t="s">
        <v>2214</v>
      </c>
      <c r="B448" s="1" t="s">
        <v>2215</v>
      </c>
      <c r="C448" s="1" t="s">
        <v>216</v>
      </c>
      <c r="D448" s="1" t="s">
        <v>70</v>
      </c>
      <c r="E448" s="1" t="s">
        <v>168</v>
      </c>
      <c r="F448" s="1" t="s">
        <v>25</v>
      </c>
      <c r="G448" s="1">
        <v>46</v>
      </c>
      <c r="H448" s="1" t="s">
        <v>38</v>
      </c>
      <c r="I448" s="1" t="s">
        <v>27</v>
      </c>
      <c r="J448" s="1" t="s">
        <v>2216</v>
      </c>
      <c r="K448" s="1">
        <v>11.2</v>
      </c>
      <c r="L448" s="1">
        <v>1458510</v>
      </c>
      <c r="M448" s="1">
        <v>12.12</v>
      </c>
      <c r="N448" s="1">
        <v>3</v>
      </c>
      <c r="O448" s="1" t="s">
        <v>135</v>
      </c>
      <c r="P448" s="1" t="s">
        <v>2217</v>
      </c>
      <c r="Q448" s="1" t="s">
        <v>2218</v>
      </c>
      <c r="R448" s="1">
        <v>68</v>
      </c>
      <c r="S448" s="1">
        <v>103</v>
      </c>
      <c r="T448" s="1" t="s">
        <v>152</v>
      </c>
    </row>
    <row r="449" spans="1:20" x14ac:dyDescent="0.3">
      <c r="A449" s="1" t="s">
        <v>2219</v>
      </c>
      <c r="B449" s="1" t="s">
        <v>2220</v>
      </c>
      <c r="C449" s="1" t="s">
        <v>69</v>
      </c>
      <c r="D449" s="1" t="s">
        <v>83</v>
      </c>
      <c r="E449" s="1" t="s">
        <v>102</v>
      </c>
      <c r="F449" s="1" t="s">
        <v>37</v>
      </c>
      <c r="G449" s="1">
        <v>25</v>
      </c>
      <c r="H449" s="1" t="s">
        <v>50</v>
      </c>
      <c r="I449" s="1" t="s">
        <v>51</v>
      </c>
      <c r="J449" s="1" t="s">
        <v>2221</v>
      </c>
      <c r="K449" s="1">
        <v>26.2</v>
      </c>
      <c r="L449" s="1">
        <v>1921336</v>
      </c>
      <c r="M449" s="1"/>
      <c r="N449" s="1">
        <v>4</v>
      </c>
      <c r="O449" s="1" t="s">
        <v>258</v>
      </c>
      <c r="P449" s="1" t="s">
        <v>2222</v>
      </c>
      <c r="Q449" s="1" t="s">
        <v>2223</v>
      </c>
      <c r="R449" s="1">
        <v>12</v>
      </c>
      <c r="S449" s="1">
        <v>91</v>
      </c>
      <c r="T449" s="1" t="s">
        <v>778</v>
      </c>
    </row>
    <row r="450" spans="1:20" x14ac:dyDescent="0.3">
      <c r="A450" s="1" t="s">
        <v>2224</v>
      </c>
      <c r="B450" s="1" t="s">
        <v>2225</v>
      </c>
      <c r="C450" s="1" t="s">
        <v>230</v>
      </c>
      <c r="D450" s="1" t="s">
        <v>256</v>
      </c>
      <c r="E450" s="1" t="s">
        <v>290</v>
      </c>
      <c r="F450" s="1" t="s">
        <v>37</v>
      </c>
      <c r="G450" s="1">
        <v>40</v>
      </c>
      <c r="H450" s="1" t="s">
        <v>38</v>
      </c>
      <c r="I450" s="1" t="s">
        <v>85</v>
      </c>
      <c r="J450" s="1" t="s">
        <v>2226</v>
      </c>
      <c r="K450" s="1">
        <v>7.9</v>
      </c>
      <c r="L450" s="1">
        <v>741359</v>
      </c>
      <c r="M450" s="1">
        <v>9.3699999999999992</v>
      </c>
      <c r="N450" s="1">
        <v>5</v>
      </c>
      <c r="O450" s="1" t="s">
        <v>135</v>
      </c>
      <c r="P450" s="1" t="s">
        <v>2227</v>
      </c>
      <c r="Q450" s="1" t="s">
        <v>2228</v>
      </c>
      <c r="R450" s="1">
        <v>4</v>
      </c>
      <c r="S450" s="1">
        <v>102</v>
      </c>
      <c r="T450" s="1" t="s">
        <v>2203</v>
      </c>
    </row>
    <row r="451" spans="1:20" x14ac:dyDescent="0.3">
      <c r="A451" s="1" t="s">
        <v>2229</v>
      </c>
      <c r="B451" s="1" t="s">
        <v>2230</v>
      </c>
      <c r="C451" s="1" t="s">
        <v>46</v>
      </c>
      <c r="D451" s="1" t="s">
        <v>23</v>
      </c>
      <c r="E451" s="1" t="s">
        <v>36</v>
      </c>
      <c r="F451" s="1" t="s">
        <v>61</v>
      </c>
      <c r="G451" s="1">
        <v>45</v>
      </c>
      <c r="H451" s="1" t="s">
        <v>38</v>
      </c>
      <c r="I451" s="1" t="s">
        <v>39</v>
      </c>
      <c r="J451" s="1" t="s">
        <v>2231</v>
      </c>
      <c r="K451" s="1">
        <v>22.4</v>
      </c>
      <c r="L451" s="1">
        <v>1100212</v>
      </c>
      <c r="M451" s="1">
        <v>15.92</v>
      </c>
      <c r="N451" s="1">
        <v>2</v>
      </c>
      <c r="O451" s="1" t="s">
        <v>41</v>
      </c>
      <c r="P451" s="1" t="s">
        <v>2232</v>
      </c>
      <c r="Q451" s="1" t="s">
        <v>2233</v>
      </c>
      <c r="R451" s="1">
        <v>3</v>
      </c>
      <c r="S451" s="1">
        <v>119</v>
      </c>
      <c r="T451" s="1" t="s">
        <v>66</v>
      </c>
    </row>
    <row r="452" spans="1:20" x14ac:dyDescent="0.3">
      <c r="A452" s="1" t="s">
        <v>2234</v>
      </c>
      <c r="B452" s="1" t="s">
        <v>2235</v>
      </c>
      <c r="C452" s="1" t="s">
        <v>46</v>
      </c>
      <c r="D452" s="1" t="s">
        <v>111</v>
      </c>
      <c r="E452" s="1" t="s">
        <v>290</v>
      </c>
      <c r="F452" s="1" t="s">
        <v>72</v>
      </c>
      <c r="G452" s="1">
        <v>44</v>
      </c>
      <c r="H452" s="1" t="s">
        <v>103</v>
      </c>
      <c r="I452" s="1" t="s">
        <v>74</v>
      </c>
      <c r="J452" s="1" t="s">
        <v>2236</v>
      </c>
      <c r="K452" s="1">
        <v>27</v>
      </c>
      <c r="L452" s="1">
        <v>2208342</v>
      </c>
      <c r="M452" s="1">
        <v>10.79</v>
      </c>
      <c r="N452" s="1">
        <v>3</v>
      </c>
      <c r="O452" s="1" t="s">
        <v>29</v>
      </c>
      <c r="P452" s="1" t="s">
        <v>2237</v>
      </c>
      <c r="Q452" s="1" t="s">
        <v>2238</v>
      </c>
      <c r="R452" s="1">
        <v>5</v>
      </c>
      <c r="S452" s="1">
        <v>90</v>
      </c>
      <c r="T452" s="1" t="s">
        <v>1071</v>
      </c>
    </row>
    <row r="453" spans="1:20" x14ac:dyDescent="0.3">
      <c r="A453" s="1" t="s">
        <v>2239</v>
      </c>
      <c r="B453" s="1" t="s">
        <v>2240</v>
      </c>
      <c r="C453" s="1" t="s">
        <v>46</v>
      </c>
      <c r="D453" s="1" t="s">
        <v>111</v>
      </c>
      <c r="E453" s="1" t="s">
        <v>60</v>
      </c>
      <c r="F453" s="1" t="s">
        <v>61</v>
      </c>
      <c r="G453" s="1">
        <v>24</v>
      </c>
      <c r="H453" s="1" t="s">
        <v>50</v>
      </c>
      <c r="I453" s="1" t="s">
        <v>51</v>
      </c>
      <c r="J453" s="1" t="s">
        <v>2241</v>
      </c>
      <c r="K453" s="1"/>
      <c r="L453" s="1">
        <v>2040189</v>
      </c>
      <c r="M453" s="1">
        <v>9.5399999999999991</v>
      </c>
      <c r="N453" s="1">
        <v>4</v>
      </c>
      <c r="O453" s="1" t="s">
        <v>41</v>
      </c>
      <c r="P453" s="1" t="s">
        <v>2242</v>
      </c>
      <c r="Q453" s="1" t="s">
        <v>2243</v>
      </c>
      <c r="R453" s="1">
        <v>56</v>
      </c>
      <c r="S453" s="1">
        <v>8</v>
      </c>
      <c r="T453" s="1" t="s">
        <v>865</v>
      </c>
    </row>
    <row r="454" spans="1:20" x14ac:dyDescent="0.3">
      <c r="A454" s="1" t="s">
        <v>2244</v>
      </c>
      <c r="B454" s="1" t="s">
        <v>2245</v>
      </c>
      <c r="C454" s="1" t="s">
        <v>35</v>
      </c>
      <c r="D454" s="1" t="s">
        <v>47</v>
      </c>
      <c r="E454" s="1" t="s">
        <v>102</v>
      </c>
      <c r="F454" s="1" t="s">
        <v>49</v>
      </c>
      <c r="G454" s="1">
        <v>32</v>
      </c>
      <c r="H454" s="1" t="s">
        <v>218</v>
      </c>
      <c r="I454" s="1" t="s">
        <v>85</v>
      </c>
      <c r="J454" s="1" t="s">
        <v>2246</v>
      </c>
      <c r="K454" s="1">
        <v>5.6</v>
      </c>
      <c r="L454" s="1">
        <v>918622</v>
      </c>
      <c r="M454" s="1">
        <v>8.6199999999999992</v>
      </c>
      <c r="N454" s="1">
        <v>2</v>
      </c>
      <c r="O454" s="1" t="s">
        <v>41</v>
      </c>
      <c r="P454" s="1" t="s">
        <v>2247</v>
      </c>
      <c r="Q454" s="1" t="s">
        <v>365</v>
      </c>
      <c r="R454" s="1">
        <v>50</v>
      </c>
      <c r="S454" s="1">
        <v>116</v>
      </c>
      <c r="T454" s="1" t="s">
        <v>66</v>
      </c>
    </row>
    <row r="455" spans="1:20" x14ac:dyDescent="0.3">
      <c r="A455" s="1" t="s">
        <v>2248</v>
      </c>
      <c r="B455" s="1" t="s">
        <v>2249</v>
      </c>
      <c r="C455" s="1" t="s">
        <v>58</v>
      </c>
      <c r="D455" s="1" t="s">
        <v>23</v>
      </c>
      <c r="E455" s="1" t="s">
        <v>155</v>
      </c>
      <c r="F455" s="1" t="s">
        <v>37</v>
      </c>
      <c r="G455" s="1">
        <v>49</v>
      </c>
      <c r="H455" s="1" t="s">
        <v>62</v>
      </c>
      <c r="I455" s="1" t="s">
        <v>198</v>
      </c>
      <c r="J455" s="1" t="s">
        <v>2250</v>
      </c>
      <c r="K455" s="1">
        <v>9.4</v>
      </c>
      <c r="L455" s="1">
        <v>2090428</v>
      </c>
      <c r="M455" s="1">
        <v>6.73</v>
      </c>
      <c r="N455" s="1">
        <v>3</v>
      </c>
      <c r="O455" s="1" t="s">
        <v>41</v>
      </c>
      <c r="P455" s="1" t="s">
        <v>2251</v>
      </c>
      <c r="Q455" s="1" t="s">
        <v>2252</v>
      </c>
      <c r="R455" s="1">
        <v>50</v>
      </c>
      <c r="S455" s="1">
        <v>0</v>
      </c>
      <c r="T455" s="1" t="s">
        <v>522</v>
      </c>
    </row>
    <row r="456" spans="1:20" x14ac:dyDescent="0.3">
      <c r="A456" s="1" t="s">
        <v>2253</v>
      </c>
      <c r="B456" s="1" t="s">
        <v>1051</v>
      </c>
      <c r="C456" s="1" t="s">
        <v>35</v>
      </c>
      <c r="D456" s="1" t="s">
        <v>231</v>
      </c>
      <c r="E456" s="1" t="s">
        <v>168</v>
      </c>
      <c r="F456" s="1" t="s">
        <v>49</v>
      </c>
      <c r="G456" s="1">
        <v>56</v>
      </c>
      <c r="H456" s="1" t="s">
        <v>218</v>
      </c>
      <c r="I456" s="1" t="s">
        <v>51</v>
      </c>
      <c r="J456" s="1" t="s">
        <v>2254</v>
      </c>
      <c r="K456" s="1">
        <v>29.4</v>
      </c>
      <c r="L456" s="1">
        <v>768386</v>
      </c>
      <c r="M456" s="1">
        <v>11.37</v>
      </c>
      <c r="N456" s="1">
        <v>3</v>
      </c>
      <c r="O456" s="1" t="s">
        <v>135</v>
      </c>
      <c r="P456" s="1" t="s">
        <v>2255</v>
      </c>
      <c r="Q456" s="1" t="s">
        <v>2256</v>
      </c>
      <c r="R456" s="1">
        <v>36</v>
      </c>
      <c r="S456" s="1">
        <v>111</v>
      </c>
      <c r="T456" s="1" t="s">
        <v>865</v>
      </c>
    </row>
    <row r="457" spans="1:20" x14ac:dyDescent="0.3">
      <c r="A457" s="1" t="s">
        <v>2257</v>
      </c>
      <c r="B457" s="1" t="s">
        <v>2258</v>
      </c>
      <c r="C457" s="1" t="s">
        <v>230</v>
      </c>
      <c r="D457" s="1" t="s">
        <v>59</v>
      </c>
      <c r="E457" s="1" t="s">
        <v>175</v>
      </c>
      <c r="F457" s="1" t="s">
        <v>25</v>
      </c>
      <c r="G457" s="1">
        <v>57</v>
      </c>
      <c r="H457" s="1" t="s">
        <v>84</v>
      </c>
      <c r="I457" s="1" t="s">
        <v>39</v>
      </c>
      <c r="J457" s="1" t="s">
        <v>2259</v>
      </c>
      <c r="K457" s="1">
        <v>0.6</v>
      </c>
      <c r="L457" s="1">
        <v>1865091</v>
      </c>
      <c r="M457" s="1">
        <v>4.71</v>
      </c>
      <c r="N457" s="1">
        <v>1</v>
      </c>
      <c r="O457" s="1" t="s">
        <v>135</v>
      </c>
      <c r="P457" s="1" t="s">
        <v>2260</v>
      </c>
      <c r="Q457" s="1" t="s">
        <v>2261</v>
      </c>
      <c r="R457" s="1">
        <v>23</v>
      </c>
      <c r="S457" s="1">
        <v>44</v>
      </c>
      <c r="T457" s="1" t="s">
        <v>615</v>
      </c>
    </row>
    <row r="458" spans="1:20" x14ac:dyDescent="0.3">
      <c r="A458" s="1" t="s">
        <v>2262</v>
      </c>
      <c r="B458" s="1" t="s">
        <v>2263</v>
      </c>
      <c r="C458" s="1" t="s">
        <v>35</v>
      </c>
      <c r="D458" s="1" t="s">
        <v>59</v>
      </c>
      <c r="E458" s="1" t="s">
        <v>175</v>
      </c>
      <c r="F458" s="1" t="s">
        <v>37</v>
      </c>
      <c r="G458" s="1">
        <v>33</v>
      </c>
      <c r="H458" s="1" t="s">
        <v>84</v>
      </c>
      <c r="I458" s="1" t="s">
        <v>118</v>
      </c>
      <c r="J458" s="1" t="s">
        <v>1199</v>
      </c>
      <c r="K458" s="1">
        <v>6.2</v>
      </c>
      <c r="L458" s="1">
        <v>1147580</v>
      </c>
      <c r="M458" s="1">
        <v>0.33</v>
      </c>
      <c r="N458" s="1">
        <v>5</v>
      </c>
      <c r="O458" s="1" t="s">
        <v>41</v>
      </c>
      <c r="P458" s="1" t="s">
        <v>2264</v>
      </c>
      <c r="Q458" s="1" t="s">
        <v>2265</v>
      </c>
      <c r="R458" s="1">
        <v>62</v>
      </c>
      <c r="S458" s="1">
        <v>106</v>
      </c>
      <c r="T458" s="1" t="s">
        <v>179</v>
      </c>
    </row>
    <row r="459" spans="1:20" x14ac:dyDescent="0.3">
      <c r="A459" s="1" t="s">
        <v>2266</v>
      </c>
      <c r="B459" s="1" t="s">
        <v>2267</v>
      </c>
      <c r="C459" s="1" t="s">
        <v>230</v>
      </c>
      <c r="D459" s="1" t="s">
        <v>182</v>
      </c>
      <c r="E459" s="1" t="s">
        <v>71</v>
      </c>
      <c r="F459" s="1" t="s">
        <v>190</v>
      </c>
      <c r="G459" s="1">
        <v>45</v>
      </c>
      <c r="H459" s="1" t="s">
        <v>62</v>
      </c>
      <c r="I459" s="1" t="s">
        <v>85</v>
      </c>
      <c r="J459" s="1" t="s">
        <v>2268</v>
      </c>
      <c r="K459" s="1">
        <v>24.2</v>
      </c>
      <c r="L459" s="1">
        <v>2099172</v>
      </c>
      <c r="M459" s="1">
        <v>2.1</v>
      </c>
      <c r="N459" s="1">
        <v>5</v>
      </c>
      <c r="O459" s="1" t="s">
        <v>41</v>
      </c>
      <c r="P459" s="1" t="s">
        <v>2269</v>
      </c>
      <c r="Q459" s="1" t="s">
        <v>2270</v>
      </c>
      <c r="R459" s="1">
        <v>69</v>
      </c>
      <c r="S459" s="1">
        <v>24</v>
      </c>
      <c r="T459" s="1" t="s">
        <v>32</v>
      </c>
    </row>
    <row r="460" spans="1:20" x14ac:dyDescent="0.3">
      <c r="A460" s="1" t="s">
        <v>165</v>
      </c>
      <c r="B460" s="1" t="s">
        <v>2271</v>
      </c>
      <c r="C460" s="1" t="s">
        <v>58</v>
      </c>
      <c r="D460" s="1" t="s">
        <v>47</v>
      </c>
      <c r="E460" s="1" t="s">
        <v>36</v>
      </c>
      <c r="F460" s="1" t="s">
        <v>190</v>
      </c>
      <c r="G460" s="1">
        <v>50</v>
      </c>
      <c r="H460" s="1" t="s">
        <v>50</v>
      </c>
      <c r="I460" s="1" t="s">
        <v>27</v>
      </c>
      <c r="J460" s="1" t="s">
        <v>2272</v>
      </c>
      <c r="K460" s="1">
        <v>22.2</v>
      </c>
      <c r="L460" s="1">
        <v>467188</v>
      </c>
      <c r="M460" s="1">
        <v>11.76</v>
      </c>
      <c r="N460" s="1">
        <v>5</v>
      </c>
      <c r="O460" s="1" t="s">
        <v>76</v>
      </c>
      <c r="P460" s="1" t="s">
        <v>2273</v>
      </c>
      <c r="Q460" s="1" t="s">
        <v>365</v>
      </c>
      <c r="R460" s="1">
        <v>35</v>
      </c>
      <c r="S460" s="1">
        <v>74</v>
      </c>
      <c r="T460" s="1" t="s">
        <v>115</v>
      </c>
    </row>
    <row r="461" spans="1:20" x14ac:dyDescent="0.3">
      <c r="A461" s="1" t="s">
        <v>2274</v>
      </c>
      <c r="B461" s="1" t="s">
        <v>2275</v>
      </c>
      <c r="C461" s="1" t="s">
        <v>197</v>
      </c>
      <c r="D461" s="1" t="s">
        <v>23</v>
      </c>
      <c r="E461" s="1" t="s">
        <v>71</v>
      </c>
      <c r="F461" s="1" t="s">
        <v>61</v>
      </c>
      <c r="G461" s="1">
        <v>44</v>
      </c>
      <c r="H461" s="1" t="s">
        <v>73</v>
      </c>
      <c r="I461" s="1" t="s">
        <v>27</v>
      </c>
      <c r="J461" s="1" t="s">
        <v>2276</v>
      </c>
      <c r="K461" s="1">
        <v>27.6</v>
      </c>
      <c r="L461" s="1">
        <v>991571</v>
      </c>
      <c r="M461" s="1">
        <v>19.8</v>
      </c>
      <c r="N461" s="1">
        <v>4</v>
      </c>
      <c r="O461" s="1" t="s">
        <v>135</v>
      </c>
      <c r="P461" s="1" t="s">
        <v>2277</v>
      </c>
      <c r="Q461" s="1" t="s">
        <v>2278</v>
      </c>
      <c r="R461" s="1">
        <v>32</v>
      </c>
      <c r="S461" s="1">
        <v>79</v>
      </c>
      <c r="T461" s="1" t="s">
        <v>288</v>
      </c>
    </row>
    <row r="462" spans="1:20" x14ac:dyDescent="0.3">
      <c r="A462" s="1" t="s">
        <v>1061</v>
      </c>
      <c r="B462" s="1" t="s">
        <v>2279</v>
      </c>
      <c r="C462" s="1" t="s">
        <v>58</v>
      </c>
      <c r="D462" s="1" t="s">
        <v>182</v>
      </c>
      <c r="E462" s="1" t="s">
        <v>189</v>
      </c>
      <c r="F462" s="1" t="s">
        <v>37</v>
      </c>
      <c r="G462" s="1">
        <v>46</v>
      </c>
      <c r="H462" s="1" t="s">
        <v>62</v>
      </c>
      <c r="I462" s="1" t="s">
        <v>198</v>
      </c>
      <c r="J462" s="1" t="s">
        <v>2280</v>
      </c>
      <c r="K462" s="1">
        <v>9.6999999999999993</v>
      </c>
      <c r="L462" s="1">
        <v>1729821</v>
      </c>
      <c r="M462" s="1">
        <v>10.6</v>
      </c>
      <c r="N462" s="1">
        <v>3</v>
      </c>
      <c r="O462" s="1" t="s">
        <v>135</v>
      </c>
      <c r="P462" s="1" t="s">
        <v>2281</v>
      </c>
      <c r="Q462" s="1" t="s">
        <v>2282</v>
      </c>
      <c r="R462" s="1">
        <v>53</v>
      </c>
      <c r="S462" s="1">
        <v>96</v>
      </c>
      <c r="T462" s="1" t="s">
        <v>1100</v>
      </c>
    </row>
    <row r="463" spans="1:20" x14ac:dyDescent="0.3">
      <c r="A463" s="1" t="s">
        <v>2283</v>
      </c>
      <c r="B463" s="1" t="s">
        <v>2284</v>
      </c>
      <c r="C463" s="1" t="s">
        <v>46</v>
      </c>
      <c r="D463" s="1" t="s">
        <v>231</v>
      </c>
      <c r="E463" s="1" t="s">
        <v>71</v>
      </c>
      <c r="F463" s="1" t="s">
        <v>133</v>
      </c>
      <c r="G463" s="1">
        <v>39</v>
      </c>
      <c r="H463" s="1" t="s">
        <v>38</v>
      </c>
      <c r="I463" s="1" t="s">
        <v>85</v>
      </c>
      <c r="J463" s="1" t="s">
        <v>2285</v>
      </c>
      <c r="K463" s="1">
        <v>2.7</v>
      </c>
      <c r="L463" s="1">
        <v>938395</v>
      </c>
      <c r="M463" s="1">
        <v>0.47</v>
      </c>
      <c r="N463" s="1">
        <v>3</v>
      </c>
      <c r="O463" s="1" t="s">
        <v>29</v>
      </c>
      <c r="P463" s="1" t="s">
        <v>2286</v>
      </c>
      <c r="Q463" s="1" t="s">
        <v>2287</v>
      </c>
      <c r="R463" s="1">
        <v>54</v>
      </c>
      <c r="S463" s="1">
        <v>109</v>
      </c>
      <c r="T463" s="1" t="s">
        <v>893</v>
      </c>
    </row>
    <row r="464" spans="1:20" x14ac:dyDescent="0.3">
      <c r="A464" s="1" t="s">
        <v>2288</v>
      </c>
      <c r="B464" s="1" t="s">
        <v>2289</v>
      </c>
      <c r="C464" s="1" t="s">
        <v>216</v>
      </c>
      <c r="D464" s="1" t="s">
        <v>182</v>
      </c>
      <c r="E464" s="1" t="s">
        <v>48</v>
      </c>
      <c r="F464" s="1" t="s">
        <v>93</v>
      </c>
      <c r="G464" s="1">
        <v>32</v>
      </c>
      <c r="H464" s="1" t="s">
        <v>103</v>
      </c>
      <c r="I464" s="1" t="s">
        <v>27</v>
      </c>
      <c r="J464" s="1" t="s">
        <v>2290</v>
      </c>
      <c r="K464" s="1">
        <v>5.7</v>
      </c>
      <c r="L464" s="1">
        <v>2495786</v>
      </c>
      <c r="M464" s="1">
        <v>6.24</v>
      </c>
      <c r="N464" s="1">
        <v>3</v>
      </c>
      <c r="O464" s="1" t="s">
        <v>41</v>
      </c>
      <c r="P464" s="1" t="s">
        <v>2291</v>
      </c>
      <c r="Q464" s="1" t="s">
        <v>2292</v>
      </c>
      <c r="R464" s="1">
        <v>15</v>
      </c>
      <c r="S464" s="1">
        <v>61</v>
      </c>
      <c r="T464" s="1" t="s">
        <v>1049</v>
      </c>
    </row>
    <row r="465" spans="1:20" x14ac:dyDescent="0.3">
      <c r="A465" s="1" t="s">
        <v>2293</v>
      </c>
      <c r="B465" s="1" t="s">
        <v>2294</v>
      </c>
      <c r="C465" s="1" t="s">
        <v>22</v>
      </c>
      <c r="D465" s="1" t="s">
        <v>217</v>
      </c>
      <c r="E465" s="1" t="s">
        <v>175</v>
      </c>
      <c r="F465" s="1" t="s">
        <v>190</v>
      </c>
      <c r="G465" s="1">
        <v>58</v>
      </c>
      <c r="H465" s="1" t="s">
        <v>62</v>
      </c>
      <c r="I465" s="1" t="s">
        <v>27</v>
      </c>
      <c r="J465" s="1" t="s">
        <v>2295</v>
      </c>
      <c r="K465" s="1">
        <v>12.1</v>
      </c>
      <c r="L465" s="1">
        <v>2297588</v>
      </c>
      <c r="M465" s="1">
        <v>23.73</v>
      </c>
      <c r="N465" s="1">
        <v>5</v>
      </c>
      <c r="O465" s="1" t="s">
        <v>135</v>
      </c>
      <c r="P465" s="1" t="s">
        <v>2296</v>
      </c>
      <c r="Q465" s="1" t="s">
        <v>2297</v>
      </c>
      <c r="R465" s="1">
        <v>27</v>
      </c>
      <c r="S465" s="1">
        <v>16</v>
      </c>
      <c r="T465" s="1" t="s">
        <v>129</v>
      </c>
    </row>
    <row r="466" spans="1:20" x14ac:dyDescent="0.3">
      <c r="A466" s="1" t="s">
        <v>2298</v>
      </c>
      <c r="B466" s="1" t="s">
        <v>2299</v>
      </c>
      <c r="C466" s="1" t="s">
        <v>197</v>
      </c>
      <c r="D466" s="1" t="s">
        <v>101</v>
      </c>
      <c r="E466" s="1" t="s">
        <v>92</v>
      </c>
      <c r="F466" s="1" t="s">
        <v>61</v>
      </c>
      <c r="G466" s="1">
        <v>22</v>
      </c>
      <c r="H466" s="1" t="s">
        <v>26</v>
      </c>
      <c r="I466" s="1" t="s">
        <v>74</v>
      </c>
      <c r="J466" s="1" t="s">
        <v>2300</v>
      </c>
      <c r="K466" s="1">
        <v>3.6</v>
      </c>
      <c r="L466" s="1">
        <v>1232081</v>
      </c>
      <c r="M466" s="1">
        <v>7.05</v>
      </c>
      <c r="N466" s="1">
        <v>5</v>
      </c>
      <c r="O466" s="1" t="s">
        <v>258</v>
      </c>
      <c r="P466" s="1" t="s">
        <v>2301</v>
      </c>
      <c r="Q466" s="1" t="s">
        <v>2302</v>
      </c>
      <c r="R466" s="1">
        <v>12</v>
      </c>
      <c r="S466" s="1">
        <v>21</v>
      </c>
      <c r="T466" s="1" t="s">
        <v>1061</v>
      </c>
    </row>
    <row r="467" spans="1:20" x14ac:dyDescent="0.3">
      <c r="A467" s="1" t="s">
        <v>494</v>
      </c>
      <c r="B467" s="1" t="s">
        <v>2303</v>
      </c>
      <c r="C467" s="1" t="s">
        <v>35</v>
      </c>
      <c r="D467" s="1" t="s">
        <v>244</v>
      </c>
      <c r="E467" s="1" t="s">
        <v>92</v>
      </c>
      <c r="F467" s="1" t="s">
        <v>133</v>
      </c>
      <c r="G467" s="1">
        <v>47</v>
      </c>
      <c r="H467" s="1" t="s">
        <v>84</v>
      </c>
      <c r="I467" s="1" t="s">
        <v>39</v>
      </c>
      <c r="J467" s="1" t="s">
        <v>2304</v>
      </c>
      <c r="K467" s="1">
        <v>13</v>
      </c>
      <c r="L467" s="1">
        <v>2401551</v>
      </c>
      <c r="M467" s="1">
        <v>9.77</v>
      </c>
      <c r="N467" s="1">
        <v>5</v>
      </c>
      <c r="O467" s="1" t="s">
        <v>41</v>
      </c>
      <c r="P467" s="1" t="s">
        <v>2305</v>
      </c>
      <c r="Q467" s="1" t="s">
        <v>2306</v>
      </c>
      <c r="R467" s="1">
        <v>8</v>
      </c>
      <c r="S467" s="1">
        <v>55</v>
      </c>
      <c r="T467" s="1" t="s">
        <v>494</v>
      </c>
    </row>
    <row r="468" spans="1:20" x14ac:dyDescent="0.3">
      <c r="A468" s="1" t="s">
        <v>756</v>
      </c>
      <c r="B468" s="1" t="s">
        <v>2307</v>
      </c>
      <c r="C468" s="1" t="s">
        <v>58</v>
      </c>
      <c r="D468" s="1" t="s">
        <v>59</v>
      </c>
      <c r="E468" s="1" t="s">
        <v>60</v>
      </c>
      <c r="F468" s="1" t="s">
        <v>72</v>
      </c>
      <c r="G468" s="1">
        <v>35</v>
      </c>
      <c r="H468" s="1" t="s">
        <v>50</v>
      </c>
      <c r="I468" s="1" t="s">
        <v>27</v>
      </c>
      <c r="J468" s="1" t="s">
        <v>2308</v>
      </c>
      <c r="K468" s="1">
        <v>21</v>
      </c>
      <c r="L468" s="1">
        <v>1437213</v>
      </c>
      <c r="M468" s="1">
        <v>8.26</v>
      </c>
      <c r="N468" s="1">
        <v>1</v>
      </c>
      <c r="O468" s="1" t="s">
        <v>64</v>
      </c>
      <c r="P468" s="1" t="s">
        <v>2309</v>
      </c>
      <c r="Q468" s="1" t="s">
        <v>2310</v>
      </c>
      <c r="R468" s="1"/>
      <c r="S468" s="1">
        <v>70</v>
      </c>
      <c r="T468" s="1" t="s">
        <v>548</v>
      </c>
    </row>
    <row r="469" spans="1:20" x14ac:dyDescent="0.3">
      <c r="A469" s="1" t="s">
        <v>2311</v>
      </c>
      <c r="B469" s="1" t="s">
        <v>2312</v>
      </c>
      <c r="C469" s="1" t="s">
        <v>58</v>
      </c>
      <c r="D469" s="1" t="s">
        <v>83</v>
      </c>
      <c r="E469" s="1" t="s">
        <v>175</v>
      </c>
      <c r="F469" s="1" t="s">
        <v>25</v>
      </c>
      <c r="G469" s="1">
        <v>49</v>
      </c>
      <c r="H469" s="1" t="s">
        <v>26</v>
      </c>
      <c r="I469" s="1" t="s">
        <v>85</v>
      </c>
      <c r="J469" s="1" t="s">
        <v>565</v>
      </c>
      <c r="K469" s="1">
        <v>6.5</v>
      </c>
      <c r="L469" s="1">
        <v>345776</v>
      </c>
      <c r="M469" s="1">
        <v>11.1</v>
      </c>
      <c r="N469" s="1">
        <v>2</v>
      </c>
      <c r="O469" s="1" t="s">
        <v>41</v>
      </c>
      <c r="P469" s="1" t="s">
        <v>2313</v>
      </c>
      <c r="Q469" s="1" t="s">
        <v>2314</v>
      </c>
      <c r="R469" s="1">
        <v>35</v>
      </c>
      <c r="S469" s="1">
        <v>25</v>
      </c>
      <c r="T469" s="1" t="s">
        <v>1055</v>
      </c>
    </row>
    <row r="470" spans="1:20" x14ac:dyDescent="0.3">
      <c r="A470" s="1" t="s">
        <v>2315</v>
      </c>
      <c r="B470" s="1" t="s">
        <v>2316</v>
      </c>
      <c r="C470" s="1" t="s">
        <v>82</v>
      </c>
      <c r="D470" s="1" t="s">
        <v>231</v>
      </c>
      <c r="E470" s="1" t="s">
        <v>189</v>
      </c>
      <c r="F470" s="1" t="s">
        <v>61</v>
      </c>
      <c r="G470" s="1">
        <v>41</v>
      </c>
      <c r="H470" s="1" t="s">
        <v>50</v>
      </c>
      <c r="I470" s="1" t="s">
        <v>39</v>
      </c>
      <c r="J470" s="1" t="s">
        <v>2317</v>
      </c>
      <c r="K470" s="1">
        <v>1.1000000000000001</v>
      </c>
      <c r="L470" s="1">
        <v>1201032</v>
      </c>
      <c r="M470" s="1">
        <v>22.24</v>
      </c>
      <c r="N470" s="1">
        <v>5</v>
      </c>
      <c r="O470" s="1" t="s">
        <v>41</v>
      </c>
      <c r="P470" s="1" t="s">
        <v>220</v>
      </c>
      <c r="Q470" s="1" t="s">
        <v>2318</v>
      </c>
      <c r="R470" s="1">
        <v>32</v>
      </c>
      <c r="S470" s="1">
        <v>11</v>
      </c>
      <c r="T470" s="1" t="s">
        <v>271</v>
      </c>
    </row>
    <row r="471" spans="1:20" x14ac:dyDescent="0.3">
      <c r="A471" s="1" t="s">
        <v>2319</v>
      </c>
      <c r="B471" s="1" t="s">
        <v>427</v>
      </c>
      <c r="C471" s="1" t="s">
        <v>124</v>
      </c>
      <c r="D471" s="1" t="s">
        <v>231</v>
      </c>
      <c r="E471" s="1" t="s">
        <v>48</v>
      </c>
      <c r="F471" s="1" t="s">
        <v>133</v>
      </c>
      <c r="G471" s="1">
        <v>36</v>
      </c>
      <c r="H471" s="1" t="s">
        <v>103</v>
      </c>
      <c r="I471" s="1" t="s">
        <v>198</v>
      </c>
      <c r="J471" s="1" t="s">
        <v>2320</v>
      </c>
      <c r="K471" s="1">
        <v>23.5</v>
      </c>
      <c r="L471" s="1">
        <v>1806851</v>
      </c>
      <c r="M471" s="1">
        <v>0.81</v>
      </c>
      <c r="N471" s="1">
        <v>3</v>
      </c>
      <c r="O471" s="1" t="s">
        <v>29</v>
      </c>
      <c r="P471" s="1" t="s">
        <v>2321</v>
      </c>
      <c r="Q471" s="1" t="s">
        <v>2322</v>
      </c>
      <c r="R471" s="1">
        <v>1</v>
      </c>
      <c r="S471" s="1">
        <v>52</v>
      </c>
      <c r="T471" s="1" t="s">
        <v>893</v>
      </c>
    </row>
    <row r="472" spans="1:20" x14ac:dyDescent="0.3">
      <c r="A472" s="1" t="s">
        <v>2323</v>
      </c>
      <c r="B472" s="1" t="s">
        <v>2324</v>
      </c>
      <c r="C472" s="1" t="s">
        <v>69</v>
      </c>
      <c r="D472" s="1" t="s">
        <v>141</v>
      </c>
      <c r="E472" s="1" t="s">
        <v>60</v>
      </c>
      <c r="F472" s="1" t="s">
        <v>49</v>
      </c>
      <c r="G472" s="1">
        <v>31</v>
      </c>
      <c r="H472" s="1" t="s">
        <v>73</v>
      </c>
      <c r="I472" s="1" t="s">
        <v>27</v>
      </c>
      <c r="J472" s="1" t="s">
        <v>2059</v>
      </c>
      <c r="K472" s="1">
        <v>21.1</v>
      </c>
      <c r="L472" s="1">
        <v>2392851</v>
      </c>
      <c r="M472" s="1">
        <v>24.62</v>
      </c>
      <c r="N472" s="1">
        <v>5</v>
      </c>
      <c r="O472" s="1" t="s">
        <v>258</v>
      </c>
      <c r="P472" s="1" t="s">
        <v>2325</v>
      </c>
      <c r="Q472" s="1" t="s">
        <v>2326</v>
      </c>
      <c r="R472" s="1">
        <v>37</v>
      </c>
      <c r="S472" s="1">
        <v>57</v>
      </c>
      <c r="T472" s="1" t="s">
        <v>1357</v>
      </c>
    </row>
    <row r="473" spans="1:20" x14ac:dyDescent="0.3">
      <c r="A473" s="1" t="s">
        <v>2327</v>
      </c>
      <c r="B473" s="1" t="s">
        <v>2328</v>
      </c>
      <c r="C473" s="1" t="s">
        <v>124</v>
      </c>
      <c r="D473" s="1" t="s">
        <v>256</v>
      </c>
      <c r="E473" s="1" t="s">
        <v>48</v>
      </c>
      <c r="F473" s="1" t="s">
        <v>49</v>
      </c>
      <c r="G473" s="1">
        <v>200</v>
      </c>
      <c r="H473" s="1" t="s">
        <v>73</v>
      </c>
      <c r="I473" s="1" t="s">
        <v>85</v>
      </c>
      <c r="J473" s="1" t="s">
        <v>2329</v>
      </c>
      <c r="K473" s="1">
        <v>19.399999999999999</v>
      </c>
      <c r="L473" s="1">
        <v>1229146</v>
      </c>
      <c r="M473" s="1">
        <v>15.17</v>
      </c>
      <c r="N473" s="1">
        <v>4</v>
      </c>
      <c r="O473" s="1" t="s">
        <v>41</v>
      </c>
      <c r="P473" s="1" t="s">
        <v>2330</v>
      </c>
      <c r="Q473" s="1" t="s">
        <v>2331</v>
      </c>
      <c r="R473" s="1">
        <v>17</v>
      </c>
      <c r="S473" s="1">
        <v>25</v>
      </c>
      <c r="T473" s="1" t="s">
        <v>1280</v>
      </c>
    </row>
    <row r="474" spans="1:20" x14ac:dyDescent="0.3">
      <c r="A474" s="1" t="s">
        <v>1317</v>
      </c>
      <c r="B474" s="1" t="s">
        <v>2332</v>
      </c>
      <c r="C474" s="1" t="s">
        <v>46</v>
      </c>
      <c r="D474" s="1" t="s">
        <v>217</v>
      </c>
      <c r="E474" s="1" t="s">
        <v>60</v>
      </c>
      <c r="F474" s="1" t="s">
        <v>37</v>
      </c>
      <c r="G474" s="1">
        <v>40</v>
      </c>
      <c r="H474" s="1" t="s">
        <v>62</v>
      </c>
      <c r="I474" s="1" t="s">
        <v>125</v>
      </c>
      <c r="J474" s="1" t="s">
        <v>530</v>
      </c>
      <c r="K474" s="1">
        <v>27.2</v>
      </c>
      <c r="L474" s="1">
        <v>972398</v>
      </c>
      <c r="M474" s="1">
        <v>24.86</v>
      </c>
      <c r="N474" s="1">
        <v>3</v>
      </c>
      <c r="O474" s="1" t="s">
        <v>29</v>
      </c>
      <c r="P474" s="1" t="s">
        <v>2333</v>
      </c>
      <c r="Q474" s="1" t="s">
        <v>2334</v>
      </c>
      <c r="R474" s="1">
        <v>3</v>
      </c>
      <c r="S474" s="1">
        <v>12</v>
      </c>
      <c r="T474" s="1" t="s">
        <v>479</v>
      </c>
    </row>
    <row r="475" spans="1:20" x14ac:dyDescent="0.3">
      <c r="A475" s="1" t="s">
        <v>146</v>
      </c>
      <c r="B475" s="1" t="s">
        <v>2335</v>
      </c>
      <c r="C475" s="1" t="s">
        <v>124</v>
      </c>
      <c r="D475" s="1" t="s">
        <v>23</v>
      </c>
      <c r="E475" s="1" t="s">
        <v>290</v>
      </c>
      <c r="F475" s="1" t="s">
        <v>61</v>
      </c>
      <c r="G475" s="1">
        <v>34</v>
      </c>
      <c r="H475" s="1" t="s">
        <v>73</v>
      </c>
      <c r="I475" s="1" t="s">
        <v>51</v>
      </c>
      <c r="J475" s="1" t="s">
        <v>1950</v>
      </c>
      <c r="K475" s="1">
        <v>14.3</v>
      </c>
      <c r="L475" s="1">
        <v>2389877</v>
      </c>
      <c r="M475" s="1">
        <v>12.37</v>
      </c>
      <c r="N475" s="1">
        <v>4</v>
      </c>
      <c r="O475" s="1" t="s">
        <v>41</v>
      </c>
      <c r="P475" s="1" t="s">
        <v>2336</v>
      </c>
      <c r="Q475" s="1" t="s">
        <v>2337</v>
      </c>
      <c r="R475" s="1">
        <v>60</v>
      </c>
      <c r="S475" s="1">
        <v>1</v>
      </c>
      <c r="T475" s="1" t="s">
        <v>573</v>
      </c>
    </row>
    <row r="476" spans="1:20" x14ac:dyDescent="0.3">
      <c r="A476" s="1" t="s">
        <v>2338</v>
      </c>
      <c r="B476" s="1" t="s">
        <v>2339</v>
      </c>
      <c r="C476" s="1" t="s">
        <v>110</v>
      </c>
      <c r="D476" s="1" t="s">
        <v>182</v>
      </c>
      <c r="E476" s="1" t="s">
        <v>60</v>
      </c>
      <c r="F476" s="1" t="s">
        <v>25</v>
      </c>
      <c r="G476" s="1">
        <v>49</v>
      </c>
      <c r="H476" s="1" t="s">
        <v>103</v>
      </c>
      <c r="I476" s="1" t="s">
        <v>74</v>
      </c>
      <c r="J476" s="1" t="s">
        <v>2340</v>
      </c>
      <c r="K476" s="1">
        <v>17.7</v>
      </c>
      <c r="L476" s="1">
        <v>1743950</v>
      </c>
      <c r="M476" s="1">
        <v>21.64</v>
      </c>
      <c r="N476" s="1">
        <v>5</v>
      </c>
      <c r="O476" s="1" t="s">
        <v>64</v>
      </c>
      <c r="P476" s="1" t="s">
        <v>95</v>
      </c>
      <c r="Q476" s="1" t="s">
        <v>2341</v>
      </c>
      <c r="R476" s="1">
        <v>75</v>
      </c>
      <c r="S476" s="1">
        <v>40</v>
      </c>
      <c r="T476" s="1" t="s">
        <v>479</v>
      </c>
    </row>
    <row r="477" spans="1:20" x14ac:dyDescent="0.3">
      <c r="A477" s="1" t="s">
        <v>159</v>
      </c>
      <c r="B477" s="1" t="s">
        <v>2342</v>
      </c>
      <c r="C477" s="1" t="s">
        <v>58</v>
      </c>
      <c r="D477" s="1" t="s">
        <v>101</v>
      </c>
      <c r="E477" s="1" t="s">
        <v>168</v>
      </c>
      <c r="F477" s="1" t="s">
        <v>93</v>
      </c>
      <c r="G477" s="1">
        <v>24</v>
      </c>
      <c r="H477" s="1" t="s">
        <v>50</v>
      </c>
      <c r="I477" s="1" t="s">
        <v>198</v>
      </c>
      <c r="J477" s="1" t="s">
        <v>2343</v>
      </c>
      <c r="K477" s="1">
        <v>9.6</v>
      </c>
      <c r="L477" s="1">
        <v>475766</v>
      </c>
      <c r="M477" s="1">
        <v>10.92</v>
      </c>
      <c r="N477" s="1">
        <v>4</v>
      </c>
      <c r="O477" s="1" t="s">
        <v>76</v>
      </c>
      <c r="P477" s="1" t="s">
        <v>2344</v>
      </c>
      <c r="Q477" s="1" t="s">
        <v>2345</v>
      </c>
      <c r="R477" s="1">
        <v>56</v>
      </c>
      <c r="S477" s="1">
        <v>49</v>
      </c>
      <c r="T477" s="1" t="s">
        <v>366</v>
      </c>
    </row>
    <row r="478" spans="1:20" x14ac:dyDescent="0.3">
      <c r="A478" s="1" t="s">
        <v>2346</v>
      </c>
      <c r="B478" s="1" t="s">
        <v>2125</v>
      </c>
      <c r="C478" s="1" t="s">
        <v>58</v>
      </c>
      <c r="D478" s="1" t="s">
        <v>47</v>
      </c>
      <c r="E478" s="1" t="s">
        <v>71</v>
      </c>
      <c r="F478" s="1" t="s">
        <v>190</v>
      </c>
      <c r="G478" s="1">
        <v>40</v>
      </c>
      <c r="H478" s="1" t="s">
        <v>50</v>
      </c>
      <c r="I478" s="1" t="s">
        <v>74</v>
      </c>
      <c r="J478" s="1" t="s">
        <v>2347</v>
      </c>
      <c r="K478" s="1">
        <v>4</v>
      </c>
      <c r="L478" s="1">
        <v>1396807</v>
      </c>
      <c r="M478" s="1">
        <v>0.95</v>
      </c>
      <c r="N478" s="1">
        <v>4</v>
      </c>
      <c r="O478" s="1" t="s">
        <v>64</v>
      </c>
      <c r="P478" s="1" t="s">
        <v>2348</v>
      </c>
      <c r="Q478" s="1" t="s">
        <v>2349</v>
      </c>
      <c r="R478" s="1">
        <v>10</v>
      </c>
      <c r="S478" s="1">
        <v>103</v>
      </c>
      <c r="T478" s="1" t="s">
        <v>252</v>
      </c>
    </row>
    <row r="479" spans="1:20" x14ac:dyDescent="0.3">
      <c r="A479" s="1" t="s">
        <v>2350</v>
      </c>
      <c r="B479" s="1" t="s">
        <v>2351</v>
      </c>
      <c r="C479" s="1" t="s">
        <v>46</v>
      </c>
      <c r="D479" s="1" t="s">
        <v>327</v>
      </c>
      <c r="E479" s="1" t="s">
        <v>36</v>
      </c>
      <c r="F479" s="1" t="s">
        <v>25</v>
      </c>
      <c r="G479" s="1">
        <v>40</v>
      </c>
      <c r="H479" s="1" t="s">
        <v>50</v>
      </c>
      <c r="I479" s="1" t="s">
        <v>198</v>
      </c>
      <c r="J479" s="1" t="s">
        <v>2352</v>
      </c>
      <c r="K479" s="1">
        <v>1.8</v>
      </c>
      <c r="L479" s="1">
        <v>799555</v>
      </c>
      <c r="M479" s="1">
        <v>5.25</v>
      </c>
      <c r="N479" s="1">
        <v>5</v>
      </c>
      <c r="O479" s="1" t="s">
        <v>41</v>
      </c>
      <c r="P479" s="1" t="s">
        <v>2353</v>
      </c>
      <c r="Q479" s="1" t="s">
        <v>2354</v>
      </c>
      <c r="R479" s="1">
        <v>44</v>
      </c>
      <c r="S479" s="1">
        <v>47</v>
      </c>
      <c r="T479" s="1" t="s">
        <v>1994</v>
      </c>
    </row>
    <row r="480" spans="1:20" x14ac:dyDescent="0.3">
      <c r="A480" s="1" t="s">
        <v>2355</v>
      </c>
      <c r="B480" s="1" t="s">
        <v>2356</v>
      </c>
      <c r="C480" s="1" t="s">
        <v>255</v>
      </c>
      <c r="D480" s="1" t="s">
        <v>70</v>
      </c>
      <c r="E480" s="1" t="s">
        <v>24</v>
      </c>
      <c r="F480" s="1" t="s">
        <v>72</v>
      </c>
      <c r="G480" s="1">
        <v>33</v>
      </c>
      <c r="H480" s="1" t="s">
        <v>142</v>
      </c>
      <c r="I480" s="1" t="s">
        <v>27</v>
      </c>
      <c r="J480" s="1" t="s">
        <v>2357</v>
      </c>
      <c r="K480" s="1">
        <v>15</v>
      </c>
      <c r="L480" s="1">
        <v>1038661</v>
      </c>
      <c r="M480" s="1">
        <v>11.38</v>
      </c>
      <c r="N480" s="1">
        <v>3</v>
      </c>
      <c r="O480" s="1" t="s">
        <v>135</v>
      </c>
      <c r="P480" s="1" t="s">
        <v>2358</v>
      </c>
      <c r="Q480" s="1" t="s">
        <v>2359</v>
      </c>
      <c r="R480" s="1">
        <v>51</v>
      </c>
      <c r="S480" s="1">
        <v>67</v>
      </c>
      <c r="T480" s="1" t="s">
        <v>195</v>
      </c>
    </row>
    <row r="481" spans="1:20" x14ac:dyDescent="0.3">
      <c r="A481" s="1" t="s">
        <v>2360</v>
      </c>
      <c r="B481" s="1" t="s">
        <v>1862</v>
      </c>
      <c r="C481" s="1" t="s">
        <v>58</v>
      </c>
      <c r="D481" s="1" t="s">
        <v>23</v>
      </c>
      <c r="E481" s="1" t="s">
        <v>290</v>
      </c>
      <c r="F481" s="1" t="s">
        <v>72</v>
      </c>
      <c r="G481" s="1">
        <v>45</v>
      </c>
      <c r="H481" s="1" t="s">
        <v>218</v>
      </c>
      <c r="I481" s="1" t="s">
        <v>39</v>
      </c>
      <c r="J481" s="1" t="s">
        <v>2361</v>
      </c>
      <c r="K481" s="1">
        <v>22.3</v>
      </c>
      <c r="L481" s="1">
        <v>838320</v>
      </c>
      <c r="M481" s="1"/>
      <c r="N481" s="1">
        <v>3</v>
      </c>
      <c r="O481" s="1" t="s">
        <v>29</v>
      </c>
      <c r="P481" s="1" t="s">
        <v>2362</v>
      </c>
      <c r="Q481" s="1" t="s">
        <v>2363</v>
      </c>
      <c r="R481" s="1">
        <v>17</v>
      </c>
      <c r="S481" s="1">
        <v>42</v>
      </c>
      <c r="T481" s="1" t="s">
        <v>354</v>
      </c>
    </row>
    <row r="482" spans="1:20" x14ac:dyDescent="0.3">
      <c r="A482" s="1" t="s">
        <v>2364</v>
      </c>
      <c r="B482" s="1" t="s">
        <v>2365</v>
      </c>
      <c r="C482" s="1" t="s">
        <v>69</v>
      </c>
      <c r="D482" s="1" t="s">
        <v>182</v>
      </c>
      <c r="E482" s="1" t="s">
        <v>48</v>
      </c>
      <c r="F482" s="1" t="s">
        <v>93</v>
      </c>
      <c r="G482" s="1">
        <v>43</v>
      </c>
      <c r="H482" s="1" t="s">
        <v>84</v>
      </c>
      <c r="I482" s="1" t="s">
        <v>125</v>
      </c>
      <c r="J482" s="1" t="s">
        <v>2366</v>
      </c>
      <c r="K482" s="1">
        <v>7.6</v>
      </c>
      <c r="L482" s="1">
        <v>1462551</v>
      </c>
      <c r="M482" s="1">
        <v>20.14</v>
      </c>
      <c r="N482" s="1">
        <v>4</v>
      </c>
      <c r="O482" s="1" t="s">
        <v>41</v>
      </c>
      <c r="P482" s="1" t="s">
        <v>95</v>
      </c>
      <c r="Q482" s="1" t="s">
        <v>2367</v>
      </c>
      <c r="R482" s="1">
        <v>26</v>
      </c>
      <c r="S482" s="1">
        <v>2</v>
      </c>
      <c r="T482" s="1" t="s">
        <v>548</v>
      </c>
    </row>
    <row r="483" spans="1:20" x14ac:dyDescent="0.3">
      <c r="A483" s="1" t="s">
        <v>696</v>
      </c>
      <c r="B483" s="1" t="s">
        <v>1415</v>
      </c>
      <c r="C483" s="1" t="s">
        <v>255</v>
      </c>
      <c r="D483" s="1" t="s">
        <v>327</v>
      </c>
      <c r="E483" s="1" t="s">
        <v>92</v>
      </c>
      <c r="F483" s="1" t="s">
        <v>133</v>
      </c>
      <c r="G483" s="1">
        <v>58</v>
      </c>
      <c r="H483" s="1" t="s">
        <v>103</v>
      </c>
      <c r="I483" s="1" t="s">
        <v>51</v>
      </c>
      <c r="J483" s="1" t="s">
        <v>2368</v>
      </c>
      <c r="K483" s="1">
        <v>26.3</v>
      </c>
      <c r="L483" s="1">
        <v>1644966</v>
      </c>
      <c r="M483" s="1">
        <v>1.17</v>
      </c>
      <c r="N483" s="1">
        <v>1</v>
      </c>
      <c r="O483" s="1" t="s">
        <v>135</v>
      </c>
      <c r="P483" s="1" t="s">
        <v>2369</v>
      </c>
      <c r="Q483" s="1" t="s">
        <v>2370</v>
      </c>
      <c r="R483" s="1">
        <v>48</v>
      </c>
      <c r="S483" s="1">
        <v>40</v>
      </c>
      <c r="T483" s="1" t="s">
        <v>172</v>
      </c>
    </row>
    <row r="484" spans="1:20" x14ac:dyDescent="0.3">
      <c r="A484" s="1" t="s">
        <v>2371</v>
      </c>
      <c r="B484" s="1" t="s">
        <v>1174</v>
      </c>
      <c r="C484" s="1" t="s">
        <v>22</v>
      </c>
      <c r="D484" s="1" t="s">
        <v>141</v>
      </c>
      <c r="E484" s="1" t="s">
        <v>189</v>
      </c>
      <c r="F484" s="1" t="s">
        <v>25</v>
      </c>
      <c r="G484" s="1">
        <v>43</v>
      </c>
      <c r="H484" s="1" t="s">
        <v>218</v>
      </c>
      <c r="I484" s="1" t="s">
        <v>125</v>
      </c>
      <c r="J484" s="1" t="s">
        <v>2372</v>
      </c>
      <c r="K484" s="1"/>
      <c r="L484" s="1">
        <v>847985</v>
      </c>
      <c r="M484" s="1">
        <v>9.17</v>
      </c>
      <c r="N484" s="1">
        <v>4</v>
      </c>
      <c r="O484" s="1" t="s">
        <v>76</v>
      </c>
      <c r="P484" s="1" t="s">
        <v>2373</v>
      </c>
      <c r="Q484" s="1" t="s">
        <v>2374</v>
      </c>
      <c r="R484" s="1">
        <v>54</v>
      </c>
      <c r="S484" s="1">
        <v>43</v>
      </c>
      <c r="T484" s="1" t="s">
        <v>425</v>
      </c>
    </row>
    <row r="485" spans="1:20" x14ac:dyDescent="0.3">
      <c r="A485" s="1" t="s">
        <v>403</v>
      </c>
      <c r="B485" s="1" t="s">
        <v>2375</v>
      </c>
      <c r="C485" s="1" t="s">
        <v>58</v>
      </c>
      <c r="D485" s="1" t="s">
        <v>101</v>
      </c>
      <c r="E485" s="1" t="s">
        <v>48</v>
      </c>
      <c r="F485" s="1" t="s">
        <v>61</v>
      </c>
      <c r="G485" s="1">
        <v>48</v>
      </c>
      <c r="H485" s="1" t="s">
        <v>218</v>
      </c>
      <c r="I485" s="1" t="s">
        <v>39</v>
      </c>
      <c r="J485" s="1" t="s">
        <v>2376</v>
      </c>
      <c r="K485" s="1">
        <v>18.5</v>
      </c>
      <c r="L485" s="1">
        <v>1296273</v>
      </c>
      <c r="M485" s="1">
        <v>11.54</v>
      </c>
      <c r="N485" s="1">
        <v>5</v>
      </c>
      <c r="O485" s="1" t="s">
        <v>258</v>
      </c>
      <c r="P485" s="1" t="s">
        <v>2377</v>
      </c>
      <c r="Q485" s="1" t="s">
        <v>2378</v>
      </c>
      <c r="R485" s="1">
        <v>48</v>
      </c>
      <c r="S485" s="1">
        <v>53</v>
      </c>
      <c r="T485" s="1" t="s">
        <v>548</v>
      </c>
    </row>
    <row r="486" spans="1:20" x14ac:dyDescent="0.3">
      <c r="A486" s="1" t="s">
        <v>2379</v>
      </c>
      <c r="B486" s="1" t="s">
        <v>2380</v>
      </c>
      <c r="C486" s="1" t="s">
        <v>124</v>
      </c>
      <c r="D486" s="1" t="s">
        <v>231</v>
      </c>
      <c r="E486" s="1" t="s">
        <v>24</v>
      </c>
      <c r="F486" s="1" t="s">
        <v>93</v>
      </c>
      <c r="G486" s="1">
        <v>50</v>
      </c>
      <c r="H486" s="1" t="s">
        <v>38</v>
      </c>
      <c r="I486" s="1" t="s">
        <v>51</v>
      </c>
      <c r="J486" s="1" t="s">
        <v>2381</v>
      </c>
      <c r="K486" s="1">
        <v>13.4</v>
      </c>
      <c r="L486" s="1">
        <v>2186403</v>
      </c>
      <c r="M486" s="1">
        <v>9.25</v>
      </c>
      <c r="N486" s="1">
        <v>5</v>
      </c>
      <c r="O486" s="1" t="s">
        <v>64</v>
      </c>
      <c r="P486" s="1" t="s">
        <v>2382</v>
      </c>
      <c r="Q486" s="1" t="s">
        <v>2383</v>
      </c>
      <c r="R486" s="1">
        <v>48</v>
      </c>
      <c r="S486" s="1">
        <v>22</v>
      </c>
      <c r="T486" s="1" t="s">
        <v>1100</v>
      </c>
    </row>
    <row r="487" spans="1:20" x14ac:dyDescent="0.3">
      <c r="A487" s="1" t="s">
        <v>397</v>
      </c>
      <c r="B487" s="1" t="s">
        <v>2384</v>
      </c>
      <c r="C487" s="1" t="s">
        <v>35</v>
      </c>
      <c r="D487" s="1" t="s">
        <v>70</v>
      </c>
      <c r="E487" s="1" t="s">
        <v>48</v>
      </c>
      <c r="F487" s="1" t="s">
        <v>93</v>
      </c>
      <c r="G487" s="1">
        <v>200</v>
      </c>
      <c r="H487" s="1" t="s">
        <v>50</v>
      </c>
      <c r="I487" s="1" t="s">
        <v>118</v>
      </c>
      <c r="J487" s="1" t="s">
        <v>2385</v>
      </c>
      <c r="K487" s="1">
        <v>28.6</v>
      </c>
      <c r="L487" s="1">
        <v>347607</v>
      </c>
      <c r="M487" s="1">
        <v>10.73</v>
      </c>
      <c r="N487" s="1">
        <v>3</v>
      </c>
      <c r="O487" s="1" t="s">
        <v>41</v>
      </c>
      <c r="P487" s="1" t="s">
        <v>2386</v>
      </c>
      <c r="Q487" s="1" t="s">
        <v>2387</v>
      </c>
      <c r="R487" s="1">
        <v>33</v>
      </c>
      <c r="S487" s="1">
        <v>73</v>
      </c>
      <c r="T487" s="1" t="s">
        <v>697</v>
      </c>
    </row>
    <row r="488" spans="1:20" x14ac:dyDescent="0.3">
      <c r="A488" s="1" t="s">
        <v>2388</v>
      </c>
      <c r="B488" s="1" t="s">
        <v>2389</v>
      </c>
      <c r="C488" s="1" t="s">
        <v>197</v>
      </c>
      <c r="D488" s="1" t="s">
        <v>217</v>
      </c>
      <c r="E488" s="1" t="s">
        <v>24</v>
      </c>
      <c r="F488" s="1" t="s">
        <v>93</v>
      </c>
      <c r="G488" s="1">
        <v>36</v>
      </c>
      <c r="H488" s="1" t="s">
        <v>50</v>
      </c>
      <c r="I488" s="1" t="s">
        <v>85</v>
      </c>
      <c r="J488" s="1" t="s">
        <v>2390</v>
      </c>
      <c r="K488" s="1">
        <v>3.4</v>
      </c>
      <c r="L488" s="1">
        <v>2432972</v>
      </c>
      <c r="M488" s="1">
        <v>8.34</v>
      </c>
      <c r="N488" s="1">
        <v>4</v>
      </c>
      <c r="O488" s="1" t="s">
        <v>258</v>
      </c>
      <c r="P488" s="1" t="s">
        <v>2391</v>
      </c>
      <c r="Q488" s="1" t="s">
        <v>2392</v>
      </c>
      <c r="R488" s="1"/>
      <c r="S488" s="1">
        <v>87</v>
      </c>
      <c r="T488" s="1" t="s">
        <v>516</v>
      </c>
    </row>
    <row r="489" spans="1:20" x14ac:dyDescent="0.3">
      <c r="A489" s="1" t="s">
        <v>2393</v>
      </c>
      <c r="B489" s="1" t="s">
        <v>2394</v>
      </c>
      <c r="C489" s="1" t="s">
        <v>124</v>
      </c>
      <c r="D489" s="1" t="s">
        <v>83</v>
      </c>
      <c r="E489" s="1" t="s">
        <v>168</v>
      </c>
      <c r="F489" s="1" t="s">
        <v>190</v>
      </c>
      <c r="G489" s="1">
        <v>38</v>
      </c>
      <c r="H489" s="1" t="s">
        <v>103</v>
      </c>
      <c r="I489" s="1" t="s">
        <v>39</v>
      </c>
      <c r="J489" s="1" t="s">
        <v>2395</v>
      </c>
      <c r="K489" s="1">
        <v>2.6</v>
      </c>
      <c r="L489" s="1">
        <v>2423316</v>
      </c>
      <c r="M489" s="1">
        <v>8.49</v>
      </c>
      <c r="N489" s="1">
        <v>5</v>
      </c>
      <c r="O489" s="1" t="s">
        <v>258</v>
      </c>
      <c r="P489" s="1" t="s">
        <v>2396</v>
      </c>
      <c r="Q489" s="1" t="s">
        <v>2397</v>
      </c>
      <c r="R489" s="1">
        <v>58</v>
      </c>
      <c r="S489" s="1">
        <v>110</v>
      </c>
      <c r="T489" s="1" t="s">
        <v>543</v>
      </c>
    </row>
    <row r="490" spans="1:20" x14ac:dyDescent="0.3">
      <c r="A490" s="1" t="s">
        <v>573</v>
      </c>
      <c r="B490" s="1" t="s">
        <v>875</v>
      </c>
      <c r="C490" s="1" t="s">
        <v>100</v>
      </c>
      <c r="D490" s="1" t="s">
        <v>83</v>
      </c>
      <c r="E490" s="1" t="s">
        <v>60</v>
      </c>
      <c r="F490" s="1" t="s">
        <v>190</v>
      </c>
      <c r="G490" s="1">
        <v>42</v>
      </c>
      <c r="H490" s="1" t="s">
        <v>38</v>
      </c>
      <c r="I490" s="1" t="s">
        <v>51</v>
      </c>
      <c r="J490" s="1" t="s">
        <v>2398</v>
      </c>
      <c r="K490" s="1">
        <v>9.4</v>
      </c>
      <c r="L490" s="1">
        <v>822716</v>
      </c>
      <c r="M490" s="1">
        <v>4.3499999999999996</v>
      </c>
      <c r="N490" s="1">
        <v>4</v>
      </c>
      <c r="O490" s="1" t="s">
        <v>29</v>
      </c>
      <c r="P490" s="1" t="s">
        <v>2399</v>
      </c>
      <c r="Q490" s="1" t="s">
        <v>2400</v>
      </c>
      <c r="R490" s="1">
        <v>51</v>
      </c>
      <c r="S490" s="1">
        <v>0</v>
      </c>
      <c r="T490" s="1" t="s">
        <v>767</v>
      </c>
    </row>
    <row r="491" spans="1:20" x14ac:dyDescent="0.3">
      <c r="A491" s="1" t="s">
        <v>419</v>
      </c>
      <c r="B491" s="1" t="s">
        <v>2401</v>
      </c>
      <c r="C491" s="1" t="s">
        <v>22</v>
      </c>
      <c r="D491" s="1" t="s">
        <v>231</v>
      </c>
      <c r="E491" s="1" t="s">
        <v>36</v>
      </c>
      <c r="F491" s="1" t="s">
        <v>61</v>
      </c>
      <c r="G491" s="1">
        <v>33</v>
      </c>
      <c r="H491" s="1" t="s">
        <v>26</v>
      </c>
      <c r="I491" s="1" t="s">
        <v>118</v>
      </c>
      <c r="J491" s="1" t="s">
        <v>2402</v>
      </c>
      <c r="K491" s="1">
        <v>27.8</v>
      </c>
      <c r="L491" s="1">
        <v>403961</v>
      </c>
      <c r="M491" s="1">
        <v>20.41</v>
      </c>
      <c r="N491" s="1">
        <v>4</v>
      </c>
      <c r="O491" s="1" t="s">
        <v>41</v>
      </c>
      <c r="P491" s="1" t="s">
        <v>2403</v>
      </c>
      <c r="Q491" s="1" t="s">
        <v>2404</v>
      </c>
      <c r="R491" s="1">
        <v>39</v>
      </c>
      <c r="S491" s="1">
        <v>111</v>
      </c>
      <c r="T491" s="1" t="s">
        <v>594</v>
      </c>
    </row>
    <row r="492" spans="1:20" x14ac:dyDescent="0.3">
      <c r="A492" s="1" t="s">
        <v>2405</v>
      </c>
      <c r="B492" s="1" t="s">
        <v>2406</v>
      </c>
      <c r="C492" s="1" t="s">
        <v>124</v>
      </c>
      <c r="D492" s="1" t="s">
        <v>182</v>
      </c>
      <c r="E492" s="1" t="s">
        <v>102</v>
      </c>
      <c r="F492" s="1" t="s">
        <v>72</v>
      </c>
      <c r="G492" s="1">
        <v>52</v>
      </c>
      <c r="H492" s="1" t="s">
        <v>73</v>
      </c>
      <c r="I492" s="1" t="s">
        <v>125</v>
      </c>
      <c r="J492" s="1" t="s">
        <v>2407</v>
      </c>
      <c r="K492" s="1"/>
      <c r="L492" s="1">
        <v>884783</v>
      </c>
      <c r="M492" s="1">
        <v>0.56000000000000005</v>
      </c>
      <c r="N492" s="1">
        <v>3</v>
      </c>
      <c r="O492" s="1" t="s">
        <v>41</v>
      </c>
      <c r="P492" s="1" t="s">
        <v>2408</v>
      </c>
      <c r="Q492" s="1" t="s">
        <v>2409</v>
      </c>
      <c r="R492" s="1">
        <v>57</v>
      </c>
      <c r="S492" s="1">
        <v>11</v>
      </c>
      <c r="T492" s="1" t="s">
        <v>1100</v>
      </c>
    </row>
    <row r="493" spans="1:20" x14ac:dyDescent="0.3">
      <c r="A493" s="1" t="s">
        <v>80</v>
      </c>
      <c r="B493" s="1" t="s">
        <v>350</v>
      </c>
      <c r="C493" s="1" t="s">
        <v>46</v>
      </c>
      <c r="D493" s="1" t="s">
        <v>47</v>
      </c>
      <c r="E493" s="1" t="s">
        <v>60</v>
      </c>
      <c r="F493" s="1" t="s">
        <v>190</v>
      </c>
      <c r="G493" s="1">
        <v>200</v>
      </c>
      <c r="H493" s="1" t="s">
        <v>50</v>
      </c>
      <c r="I493" s="1" t="s">
        <v>118</v>
      </c>
      <c r="J493" s="1" t="s">
        <v>2410</v>
      </c>
      <c r="K493" s="1">
        <v>16.3</v>
      </c>
      <c r="L493" s="1">
        <v>1742357</v>
      </c>
      <c r="M493" s="1">
        <v>10.93</v>
      </c>
      <c r="N493" s="1">
        <v>5</v>
      </c>
      <c r="O493" s="1" t="s">
        <v>76</v>
      </c>
      <c r="P493" s="1" t="s">
        <v>2411</v>
      </c>
      <c r="Q493" s="1" t="s">
        <v>2412</v>
      </c>
      <c r="R493" s="1">
        <v>49</v>
      </c>
      <c r="S493" s="1">
        <v>28</v>
      </c>
      <c r="T493" s="1" t="s">
        <v>1280</v>
      </c>
    </row>
    <row r="494" spans="1:20" x14ac:dyDescent="0.3">
      <c r="A494" s="1" t="s">
        <v>2413</v>
      </c>
      <c r="B494" s="1" t="s">
        <v>2414</v>
      </c>
      <c r="C494" s="1" t="s">
        <v>69</v>
      </c>
      <c r="D494" s="1" t="s">
        <v>141</v>
      </c>
      <c r="E494" s="1" t="s">
        <v>24</v>
      </c>
      <c r="F494" s="1" t="s">
        <v>93</v>
      </c>
      <c r="G494" s="1">
        <v>49</v>
      </c>
      <c r="H494" s="1" t="s">
        <v>142</v>
      </c>
      <c r="I494" s="1" t="s">
        <v>27</v>
      </c>
      <c r="J494" s="1" t="s">
        <v>2415</v>
      </c>
      <c r="K494" s="1">
        <v>22.9</v>
      </c>
      <c r="L494" s="1">
        <v>1671912</v>
      </c>
      <c r="M494" s="1">
        <v>23.88</v>
      </c>
      <c r="N494" s="1">
        <v>4</v>
      </c>
      <c r="O494" s="1" t="s">
        <v>64</v>
      </c>
      <c r="P494" s="1" t="s">
        <v>2416</v>
      </c>
      <c r="Q494" s="1" t="s">
        <v>2417</v>
      </c>
      <c r="R494" s="1">
        <v>35</v>
      </c>
      <c r="S494" s="1">
        <v>107</v>
      </c>
      <c r="T494" s="1" t="s">
        <v>115</v>
      </c>
    </row>
    <row r="495" spans="1:20" x14ac:dyDescent="0.3">
      <c r="A495" s="1" t="s">
        <v>2418</v>
      </c>
      <c r="B495" s="1" t="s">
        <v>2125</v>
      </c>
      <c r="C495" s="1" t="s">
        <v>230</v>
      </c>
      <c r="D495" s="1" t="s">
        <v>182</v>
      </c>
      <c r="E495" s="1" t="s">
        <v>189</v>
      </c>
      <c r="F495" s="1" t="s">
        <v>93</v>
      </c>
      <c r="G495" s="1">
        <v>56</v>
      </c>
      <c r="H495" s="1" t="s">
        <v>73</v>
      </c>
      <c r="I495" s="1" t="s">
        <v>118</v>
      </c>
      <c r="J495" s="1" t="s">
        <v>2419</v>
      </c>
      <c r="K495" s="1">
        <v>9.8000000000000007</v>
      </c>
      <c r="L495" s="1">
        <v>827758</v>
      </c>
      <c r="M495" s="1">
        <v>10.94</v>
      </c>
      <c r="N495" s="1" t="s">
        <v>220</v>
      </c>
      <c r="O495" s="1" t="s">
        <v>41</v>
      </c>
      <c r="P495" s="1" t="s">
        <v>2420</v>
      </c>
      <c r="Q495" s="1" t="s">
        <v>2421</v>
      </c>
      <c r="R495" s="1">
        <v>62</v>
      </c>
      <c r="S495" s="1">
        <v>23</v>
      </c>
      <c r="T495" s="1" t="s">
        <v>1071</v>
      </c>
    </row>
    <row r="496" spans="1:20" x14ac:dyDescent="0.3">
      <c r="A496" s="1" t="s">
        <v>2422</v>
      </c>
      <c r="B496" s="1" t="s">
        <v>2423</v>
      </c>
      <c r="C496" s="1" t="s">
        <v>46</v>
      </c>
      <c r="D496" s="1" t="s">
        <v>244</v>
      </c>
      <c r="E496" s="1" t="s">
        <v>189</v>
      </c>
      <c r="F496" s="1" t="s">
        <v>61</v>
      </c>
      <c r="G496" s="1">
        <v>47</v>
      </c>
      <c r="H496" s="1" t="s">
        <v>204</v>
      </c>
      <c r="I496" s="1" t="s">
        <v>27</v>
      </c>
      <c r="J496" s="1" t="s">
        <v>2424</v>
      </c>
      <c r="K496" s="1">
        <v>26.8</v>
      </c>
      <c r="L496" s="1">
        <v>625155</v>
      </c>
      <c r="M496" s="1">
        <v>24.59</v>
      </c>
      <c r="N496" s="1">
        <v>3</v>
      </c>
      <c r="O496" s="1" t="s">
        <v>41</v>
      </c>
      <c r="P496" s="1" t="s">
        <v>2425</v>
      </c>
      <c r="Q496" s="1" t="s">
        <v>2426</v>
      </c>
      <c r="R496" s="1">
        <v>47</v>
      </c>
      <c r="S496" s="1">
        <v>56</v>
      </c>
      <c r="T496" s="1" t="s">
        <v>1274</v>
      </c>
    </row>
    <row r="497" spans="1:20" x14ac:dyDescent="0.3">
      <c r="A497" s="1" t="s">
        <v>2427</v>
      </c>
      <c r="B497" s="1" t="s">
        <v>2042</v>
      </c>
      <c r="C497" s="1" t="s">
        <v>22</v>
      </c>
      <c r="D497" s="1" t="s">
        <v>59</v>
      </c>
      <c r="E497" s="1" t="s">
        <v>175</v>
      </c>
      <c r="F497" s="1" t="s">
        <v>190</v>
      </c>
      <c r="G497" s="1">
        <v>34</v>
      </c>
      <c r="H497" s="1" t="s">
        <v>26</v>
      </c>
      <c r="I497" s="1" t="s">
        <v>118</v>
      </c>
      <c r="J497" s="1" t="s">
        <v>2428</v>
      </c>
      <c r="K497" s="1">
        <v>22.6</v>
      </c>
      <c r="L497" s="1">
        <v>2327623</v>
      </c>
      <c r="M497" s="1">
        <v>1.05</v>
      </c>
      <c r="N497" s="1">
        <v>4</v>
      </c>
      <c r="O497" s="1" t="s">
        <v>258</v>
      </c>
      <c r="P497" s="1" t="s">
        <v>2429</v>
      </c>
      <c r="Q497" s="1" t="s">
        <v>2430</v>
      </c>
      <c r="R497" s="1">
        <v>0</v>
      </c>
      <c r="S497" s="1">
        <v>2</v>
      </c>
      <c r="T497" s="1" t="s">
        <v>933</v>
      </c>
    </row>
    <row r="498" spans="1:20" x14ac:dyDescent="0.3">
      <c r="A498" s="1" t="s">
        <v>2431</v>
      </c>
      <c r="B498" s="1" t="s">
        <v>2432</v>
      </c>
      <c r="C498" s="1" t="s">
        <v>46</v>
      </c>
      <c r="D498" s="1" t="s">
        <v>256</v>
      </c>
      <c r="E498" s="1" t="s">
        <v>290</v>
      </c>
      <c r="F498" s="1" t="s">
        <v>190</v>
      </c>
      <c r="G498" s="1">
        <v>31</v>
      </c>
      <c r="H498" s="1" t="s">
        <v>73</v>
      </c>
      <c r="I498" s="1" t="s">
        <v>85</v>
      </c>
      <c r="J498" s="1" t="s">
        <v>2433</v>
      </c>
      <c r="K498" s="1"/>
      <c r="L498" s="1">
        <v>826591</v>
      </c>
      <c r="M498" s="1">
        <v>10.64</v>
      </c>
      <c r="N498" s="1">
        <v>3</v>
      </c>
      <c r="O498" s="1" t="s">
        <v>29</v>
      </c>
      <c r="P498" s="1" t="s">
        <v>2434</v>
      </c>
      <c r="Q498" s="1" t="s">
        <v>2435</v>
      </c>
      <c r="R498" s="1">
        <v>65</v>
      </c>
      <c r="S498" s="1">
        <v>104</v>
      </c>
      <c r="T498" s="1" t="s">
        <v>457</v>
      </c>
    </row>
    <row r="499" spans="1:20" x14ac:dyDescent="0.3">
      <c r="A499" s="1" t="s">
        <v>2436</v>
      </c>
      <c r="B499" s="1" t="s">
        <v>321</v>
      </c>
      <c r="C499" s="1" t="s">
        <v>46</v>
      </c>
      <c r="D499" s="1" t="s">
        <v>70</v>
      </c>
      <c r="E499" s="1" t="s">
        <v>48</v>
      </c>
      <c r="F499" s="1" t="s">
        <v>93</v>
      </c>
      <c r="G499" s="1">
        <v>51</v>
      </c>
      <c r="H499" s="1" t="s">
        <v>38</v>
      </c>
      <c r="I499" s="1" t="s">
        <v>74</v>
      </c>
      <c r="J499" s="1" t="s">
        <v>1157</v>
      </c>
      <c r="K499" s="1">
        <v>24.8</v>
      </c>
      <c r="L499" s="1">
        <v>1547590</v>
      </c>
      <c r="M499" s="1">
        <v>5.99</v>
      </c>
      <c r="N499" s="1">
        <v>3</v>
      </c>
      <c r="O499" s="1" t="s">
        <v>41</v>
      </c>
      <c r="P499" s="1" t="s">
        <v>2437</v>
      </c>
      <c r="Q499" s="1" t="s">
        <v>2438</v>
      </c>
      <c r="R499" s="1">
        <v>35</v>
      </c>
      <c r="S499" s="1">
        <v>68</v>
      </c>
      <c r="T499" s="1" t="s">
        <v>1049</v>
      </c>
    </row>
    <row r="500" spans="1:20" x14ac:dyDescent="0.3">
      <c r="A500" s="1" t="s">
        <v>767</v>
      </c>
      <c r="B500" s="1" t="s">
        <v>2439</v>
      </c>
      <c r="C500" s="1" t="s">
        <v>22</v>
      </c>
      <c r="D500" s="1" t="s">
        <v>111</v>
      </c>
      <c r="E500" s="1" t="s">
        <v>24</v>
      </c>
      <c r="F500" s="1" t="s">
        <v>49</v>
      </c>
      <c r="G500" s="1">
        <v>38</v>
      </c>
      <c r="H500" s="1" t="s">
        <v>204</v>
      </c>
      <c r="I500" s="1" t="s">
        <v>51</v>
      </c>
      <c r="J500" s="1" t="s">
        <v>2440</v>
      </c>
      <c r="K500" s="1">
        <v>14.5</v>
      </c>
      <c r="L500" s="1">
        <v>940214</v>
      </c>
      <c r="M500" s="1">
        <v>16.75</v>
      </c>
      <c r="N500" s="1">
        <v>3</v>
      </c>
      <c r="O500" s="1" t="s">
        <v>64</v>
      </c>
      <c r="P500" s="1" t="s">
        <v>2441</v>
      </c>
      <c r="Q500" s="1" t="s">
        <v>2442</v>
      </c>
      <c r="R500" s="1">
        <v>54</v>
      </c>
      <c r="S500" s="1">
        <v>92</v>
      </c>
      <c r="T500" s="1" t="s">
        <v>288</v>
      </c>
    </row>
    <row r="501" spans="1:20" x14ac:dyDescent="0.3">
      <c r="A501" s="1" t="s">
        <v>2443</v>
      </c>
      <c r="B501" s="1" t="s">
        <v>2444</v>
      </c>
      <c r="C501" s="1" t="s">
        <v>197</v>
      </c>
      <c r="D501" s="1" t="s">
        <v>59</v>
      </c>
      <c r="E501" s="1" t="s">
        <v>48</v>
      </c>
      <c r="F501" s="1" t="s">
        <v>190</v>
      </c>
      <c r="G501" s="1">
        <v>48</v>
      </c>
      <c r="H501" s="1" t="s">
        <v>38</v>
      </c>
      <c r="I501" s="1" t="s">
        <v>39</v>
      </c>
      <c r="J501" s="1" t="s">
        <v>2445</v>
      </c>
      <c r="K501" s="1">
        <v>16.899999999999999</v>
      </c>
      <c r="L501" s="1">
        <v>1446424</v>
      </c>
      <c r="M501" s="1">
        <v>7.6</v>
      </c>
      <c r="N501" s="1">
        <v>3</v>
      </c>
      <c r="O501" s="1" t="s">
        <v>258</v>
      </c>
      <c r="P501" s="1" t="s">
        <v>2446</v>
      </c>
      <c r="Q501" s="1" t="s">
        <v>2447</v>
      </c>
      <c r="R501" s="1">
        <v>59</v>
      </c>
      <c r="S501" s="1">
        <v>101</v>
      </c>
      <c r="T501" s="1" t="s">
        <v>32</v>
      </c>
    </row>
    <row r="502" spans="1:20" x14ac:dyDescent="0.3">
      <c r="A502" s="1" t="s">
        <v>2448</v>
      </c>
      <c r="B502" s="1" t="s">
        <v>2449</v>
      </c>
      <c r="C502" s="1" t="s">
        <v>124</v>
      </c>
      <c r="D502" s="1" t="s">
        <v>182</v>
      </c>
      <c r="E502" s="1" t="s">
        <v>92</v>
      </c>
      <c r="F502" s="1" t="s">
        <v>190</v>
      </c>
      <c r="G502" s="1">
        <v>35</v>
      </c>
      <c r="H502" s="1" t="s">
        <v>103</v>
      </c>
      <c r="I502" s="1" t="s">
        <v>74</v>
      </c>
      <c r="J502" s="1" t="s">
        <v>1847</v>
      </c>
      <c r="K502" s="1">
        <v>0.8</v>
      </c>
      <c r="L502" s="1">
        <v>1443429</v>
      </c>
      <c r="M502" s="1">
        <v>11.23</v>
      </c>
      <c r="N502" s="1">
        <v>4</v>
      </c>
      <c r="O502" s="1" t="s">
        <v>76</v>
      </c>
      <c r="P502" s="1" t="s">
        <v>2450</v>
      </c>
      <c r="Q502" s="1" t="s">
        <v>2451</v>
      </c>
      <c r="R502" s="1">
        <v>28</v>
      </c>
      <c r="S502" s="1">
        <v>14</v>
      </c>
      <c r="T502" s="1" t="s">
        <v>166</v>
      </c>
    </row>
    <row r="503" spans="1:20" x14ac:dyDescent="0.3">
      <c r="A503" s="1" t="s">
        <v>2452</v>
      </c>
      <c r="B503" s="1" t="s">
        <v>2453</v>
      </c>
      <c r="C503" s="1" t="s">
        <v>255</v>
      </c>
      <c r="D503" s="1" t="s">
        <v>83</v>
      </c>
      <c r="E503" s="1" t="s">
        <v>189</v>
      </c>
      <c r="F503" s="1" t="s">
        <v>25</v>
      </c>
      <c r="G503" s="1">
        <v>53</v>
      </c>
      <c r="H503" s="1" t="s">
        <v>84</v>
      </c>
      <c r="I503" s="1" t="s">
        <v>27</v>
      </c>
      <c r="J503" s="1" t="s">
        <v>2454</v>
      </c>
      <c r="K503" s="1">
        <v>15.1</v>
      </c>
      <c r="L503" s="1">
        <v>324119</v>
      </c>
      <c r="M503" s="1">
        <v>13.94</v>
      </c>
      <c r="N503" s="1">
        <v>2</v>
      </c>
      <c r="O503" s="1" t="s">
        <v>76</v>
      </c>
      <c r="P503" s="1" t="s">
        <v>2455</v>
      </c>
      <c r="Q503" s="1" t="s">
        <v>2456</v>
      </c>
      <c r="R503" s="1">
        <v>6</v>
      </c>
      <c r="S503" s="1">
        <v>7</v>
      </c>
      <c r="T503" s="1" t="s">
        <v>938</v>
      </c>
    </row>
    <row r="504" spans="1:20" x14ac:dyDescent="0.3">
      <c r="A504" s="1" t="s">
        <v>2457</v>
      </c>
      <c r="B504" s="1" t="s">
        <v>356</v>
      </c>
      <c r="C504" s="1" t="s">
        <v>58</v>
      </c>
      <c r="D504" s="1" t="s">
        <v>256</v>
      </c>
      <c r="E504" s="1" t="s">
        <v>24</v>
      </c>
      <c r="F504" s="1" t="s">
        <v>133</v>
      </c>
      <c r="G504" s="1">
        <v>43</v>
      </c>
      <c r="H504" s="1" t="s">
        <v>62</v>
      </c>
      <c r="I504" s="1" t="s">
        <v>85</v>
      </c>
      <c r="J504" s="1" t="s">
        <v>2458</v>
      </c>
      <c r="K504" s="1"/>
      <c r="L504" s="1">
        <v>518325</v>
      </c>
      <c r="M504" s="1">
        <v>23.27</v>
      </c>
      <c r="N504" s="1">
        <v>3</v>
      </c>
      <c r="O504" s="1" t="s">
        <v>41</v>
      </c>
      <c r="P504" s="1" t="s">
        <v>2459</v>
      </c>
      <c r="Q504" s="1" t="s">
        <v>2460</v>
      </c>
      <c r="R504" s="1">
        <v>66</v>
      </c>
      <c r="S504" s="1">
        <v>76</v>
      </c>
      <c r="T504" s="1" t="s">
        <v>1670</v>
      </c>
    </row>
    <row r="505" spans="1:20" x14ac:dyDescent="0.3">
      <c r="A505" s="1" t="s">
        <v>832</v>
      </c>
      <c r="B505" s="1" t="s">
        <v>2461</v>
      </c>
      <c r="C505" s="1" t="s">
        <v>197</v>
      </c>
      <c r="D505" s="1" t="s">
        <v>141</v>
      </c>
      <c r="E505" s="1" t="s">
        <v>24</v>
      </c>
      <c r="F505" s="1" t="s">
        <v>37</v>
      </c>
      <c r="G505" s="1">
        <v>50</v>
      </c>
      <c r="H505" s="1" t="s">
        <v>84</v>
      </c>
      <c r="I505" s="1" t="s">
        <v>74</v>
      </c>
      <c r="J505" s="1" t="s">
        <v>2462</v>
      </c>
      <c r="K505" s="1">
        <v>3.1</v>
      </c>
      <c r="L505" s="1">
        <v>1431482</v>
      </c>
      <c r="M505" s="1">
        <v>0.31</v>
      </c>
      <c r="N505" s="1">
        <v>1</v>
      </c>
      <c r="O505" s="1" t="s">
        <v>64</v>
      </c>
      <c r="P505" s="1" t="s">
        <v>2463</v>
      </c>
      <c r="Q505" s="1" t="s">
        <v>2464</v>
      </c>
      <c r="R505" s="1">
        <v>10</v>
      </c>
      <c r="S505" s="1">
        <v>71</v>
      </c>
      <c r="T505" s="1" t="s">
        <v>847</v>
      </c>
    </row>
    <row r="506" spans="1:20" x14ac:dyDescent="0.3">
      <c r="A506" s="1" t="s">
        <v>1473</v>
      </c>
      <c r="B506" s="1" t="s">
        <v>2465</v>
      </c>
      <c r="C506" s="1" t="s">
        <v>197</v>
      </c>
      <c r="D506" s="1" t="s">
        <v>23</v>
      </c>
      <c r="E506" s="1" t="s">
        <v>48</v>
      </c>
      <c r="F506" s="1" t="s">
        <v>93</v>
      </c>
      <c r="G506" s="1">
        <v>52</v>
      </c>
      <c r="H506" s="1" t="s">
        <v>62</v>
      </c>
      <c r="I506" s="1" t="s">
        <v>27</v>
      </c>
      <c r="J506" s="1" t="s">
        <v>2466</v>
      </c>
      <c r="K506" s="1">
        <v>0.6</v>
      </c>
      <c r="L506" s="1">
        <v>594019</v>
      </c>
      <c r="M506" s="1">
        <v>24.02</v>
      </c>
      <c r="N506" s="1">
        <v>3</v>
      </c>
      <c r="O506" s="1" t="s">
        <v>41</v>
      </c>
      <c r="P506" s="1"/>
      <c r="Q506" s="1" t="s">
        <v>2467</v>
      </c>
      <c r="R506" s="1">
        <v>58</v>
      </c>
      <c r="S506" s="1">
        <v>37</v>
      </c>
      <c r="T506" s="1" t="s">
        <v>152</v>
      </c>
    </row>
  </sheetData>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70C0"/>
  </sheetPr>
  <dimension ref="A1:C21"/>
  <sheetViews>
    <sheetView workbookViewId="0">
      <selection activeCell="F3" sqref="F3"/>
    </sheetView>
  </sheetViews>
  <sheetFormatPr defaultRowHeight="14.4" x14ac:dyDescent="0.3"/>
  <cols>
    <col min="1" max="1" width="17.88671875" bestFit="1" customWidth="1"/>
    <col min="2" max="2" width="27.88671875" bestFit="1" customWidth="1"/>
    <col min="3" max="3" width="67" bestFit="1" customWidth="1"/>
  </cols>
  <sheetData>
    <row r="1" spans="1:3" x14ac:dyDescent="0.3">
      <c r="A1" s="4" t="s">
        <v>2468</v>
      </c>
      <c r="B1" s="4" t="s">
        <v>2469</v>
      </c>
      <c r="C1" s="4" t="s">
        <v>2470</v>
      </c>
    </row>
    <row r="2" spans="1:3" x14ac:dyDescent="0.3">
      <c r="A2" s="3" t="s">
        <v>0</v>
      </c>
      <c r="B2" s="3" t="s">
        <v>2471</v>
      </c>
      <c r="C2" s="3" t="s">
        <v>2472</v>
      </c>
    </row>
    <row r="3" spans="1:3" x14ac:dyDescent="0.3">
      <c r="A3" s="3" t="s">
        <v>1</v>
      </c>
      <c r="B3" s="3" t="s">
        <v>2473</v>
      </c>
      <c r="C3" s="3" t="s">
        <v>2474</v>
      </c>
    </row>
    <row r="4" spans="1:3" x14ac:dyDescent="0.3">
      <c r="A4" s="3" t="s">
        <v>2</v>
      </c>
      <c r="B4" s="3" t="s">
        <v>2475</v>
      </c>
      <c r="C4" s="3" t="s">
        <v>2476</v>
      </c>
    </row>
    <row r="5" spans="1:3" x14ac:dyDescent="0.3">
      <c r="A5" s="3" t="s">
        <v>3</v>
      </c>
      <c r="B5" s="3" t="s">
        <v>2477</v>
      </c>
      <c r="C5" s="3" t="s">
        <v>2478</v>
      </c>
    </row>
    <row r="6" spans="1:3" x14ac:dyDescent="0.3">
      <c r="A6" s="3" t="s">
        <v>4</v>
      </c>
      <c r="B6" s="3" t="s">
        <v>2479</v>
      </c>
      <c r="C6" s="3" t="s">
        <v>2480</v>
      </c>
    </row>
    <row r="7" spans="1:3" x14ac:dyDescent="0.3">
      <c r="A7" s="3" t="s">
        <v>5</v>
      </c>
      <c r="B7" s="3" t="s">
        <v>2481</v>
      </c>
      <c r="C7" s="3" t="s">
        <v>2482</v>
      </c>
    </row>
    <row r="8" spans="1:3" x14ac:dyDescent="0.3">
      <c r="A8" s="3" t="s">
        <v>6</v>
      </c>
      <c r="B8" s="3" t="s">
        <v>2483</v>
      </c>
      <c r="C8" s="3" t="s">
        <v>2484</v>
      </c>
    </row>
    <row r="9" spans="1:3" x14ac:dyDescent="0.3">
      <c r="A9" s="3" t="s">
        <v>7</v>
      </c>
      <c r="B9" s="3" t="s">
        <v>2485</v>
      </c>
      <c r="C9" s="3" t="s">
        <v>2486</v>
      </c>
    </row>
    <row r="10" spans="1:3" x14ac:dyDescent="0.3">
      <c r="A10" s="3" t="s">
        <v>8</v>
      </c>
      <c r="B10" s="3" t="s">
        <v>2487</v>
      </c>
      <c r="C10" s="3" t="s">
        <v>2488</v>
      </c>
    </row>
    <row r="11" spans="1:3" x14ac:dyDescent="0.3">
      <c r="A11" s="3" t="s">
        <v>9</v>
      </c>
      <c r="B11" s="3" t="s">
        <v>2489</v>
      </c>
      <c r="C11" s="3" t="s">
        <v>2490</v>
      </c>
    </row>
    <row r="12" spans="1:3" x14ac:dyDescent="0.3">
      <c r="A12" s="3" t="s">
        <v>10</v>
      </c>
      <c r="B12" s="3" t="s">
        <v>2491</v>
      </c>
      <c r="C12" s="3" t="s">
        <v>2492</v>
      </c>
    </row>
    <row r="13" spans="1:3" x14ac:dyDescent="0.3">
      <c r="A13" s="3" t="s">
        <v>11</v>
      </c>
      <c r="B13" s="3" t="s">
        <v>2493</v>
      </c>
      <c r="C13" s="3" t="s">
        <v>2494</v>
      </c>
    </row>
    <row r="14" spans="1:3" x14ac:dyDescent="0.3">
      <c r="A14" s="3" t="s">
        <v>12</v>
      </c>
      <c r="B14" s="3" t="s">
        <v>2495</v>
      </c>
      <c r="C14" s="3" t="s">
        <v>2496</v>
      </c>
    </row>
    <row r="15" spans="1:3" x14ac:dyDescent="0.3">
      <c r="A15" s="3" t="s">
        <v>13</v>
      </c>
      <c r="B15" s="3" t="s">
        <v>2497</v>
      </c>
      <c r="C15" s="3" t="s">
        <v>2498</v>
      </c>
    </row>
    <row r="16" spans="1:3" x14ac:dyDescent="0.3">
      <c r="A16" s="3" t="s">
        <v>14</v>
      </c>
      <c r="B16" s="3" t="s">
        <v>2499</v>
      </c>
      <c r="C16" s="3" t="s">
        <v>2500</v>
      </c>
    </row>
    <row r="17" spans="1:3" x14ac:dyDescent="0.3">
      <c r="A17" s="3" t="s">
        <v>15</v>
      </c>
      <c r="B17" s="3" t="s">
        <v>2501</v>
      </c>
      <c r="C17" s="3" t="s">
        <v>2502</v>
      </c>
    </row>
    <row r="18" spans="1:3" x14ac:dyDescent="0.3">
      <c r="A18" s="3" t="s">
        <v>16</v>
      </c>
      <c r="B18" s="3" t="s">
        <v>2503</v>
      </c>
      <c r="C18" s="3" t="s">
        <v>2504</v>
      </c>
    </row>
    <row r="19" spans="1:3" x14ac:dyDescent="0.3">
      <c r="A19" s="3" t="s">
        <v>17</v>
      </c>
      <c r="B19" s="3" t="s">
        <v>2505</v>
      </c>
      <c r="C19" s="3" t="s">
        <v>2496</v>
      </c>
    </row>
    <row r="20" spans="1:3" x14ac:dyDescent="0.3">
      <c r="A20" s="3" t="s">
        <v>18</v>
      </c>
      <c r="B20" s="3" t="s">
        <v>2506</v>
      </c>
      <c r="C20" s="3" t="s">
        <v>2507</v>
      </c>
    </row>
    <row r="21" spans="1:3" x14ac:dyDescent="0.3">
      <c r="A21" s="3" t="s">
        <v>19</v>
      </c>
      <c r="B21" s="3" t="s">
        <v>2508</v>
      </c>
      <c r="C21" s="3" t="s">
        <v>2496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3D4CD-D900-4BC8-8C43-363CA4E5DF00}">
  <sheetPr>
    <tabColor rgb="FF00B050"/>
  </sheetPr>
  <dimension ref="A1:AD361"/>
  <sheetViews>
    <sheetView workbookViewId="0">
      <selection activeCell="AG4" sqref="AG4"/>
    </sheetView>
  </sheetViews>
  <sheetFormatPr defaultRowHeight="14.4" x14ac:dyDescent="0.3"/>
  <cols>
    <col min="1" max="1" width="14.109375" bestFit="1" customWidth="1"/>
    <col min="2" max="2" width="17.88671875" bestFit="1" customWidth="1"/>
    <col min="3" max="3" width="12.44140625" bestFit="1" customWidth="1"/>
    <col min="4" max="4" width="9.88671875" bestFit="1" customWidth="1"/>
    <col min="5" max="5" width="15.44140625" bestFit="1" customWidth="1"/>
    <col min="6" max="6" width="8.21875" bestFit="1" customWidth="1"/>
    <col min="7" max="7" width="4.88671875" bestFit="1" customWidth="1"/>
    <col min="8" max="8" width="10.6640625" bestFit="1" customWidth="1"/>
    <col min="9" max="9" width="20.88671875" bestFit="1" customWidth="1"/>
    <col min="10" max="10" width="13.77734375" style="6" bestFit="1" customWidth="1"/>
    <col min="11" max="11" width="19.109375" style="9" bestFit="1" customWidth="1"/>
    <col min="12" max="12" width="15.109375" bestFit="1" customWidth="1"/>
    <col min="13" max="13" width="16" style="13" bestFit="1" customWidth="1"/>
    <col min="14" max="14" width="21.109375" bestFit="1" customWidth="1"/>
    <col min="15" max="15" width="8.77734375" bestFit="1" customWidth="1"/>
    <col min="16" max="16" width="11" bestFit="1" customWidth="1"/>
    <col min="17" max="17" width="28.44140625" bestFit="1" customWidth="1"/>
    <col min="18" max="18" width="17.21875" bestFit="1" customWidth="1"/>
    <col min="19" max="19" width="15.88671875" bestFit="1" customWidth="1"/>
    <col min="20" max="21" width="12.44140625" bestFit="1" customWidth="1"/>
    <col min="22" max="22" width="21.109375" bestFit="1" customWidth="1"/>
    <col min="23" max="23" width="22.33203125" bestFit="1" customWidth="1"/>
    <col min="24" max="24" width="13.88671875" bestFit="1" customWidth="1"/>
    <col min="25" max="25" width="14.77734375" bestFit="1" customWidth="1"/>
    <col min="26" max="26" width="12" bestFit="1" customWidth="1"/>
    <col min="27" max="27" width="13.33203125" bestFit="1" customWidth="1"/>
    <col min="28" max="28" width="23.88671875" bestFit="1" customWidth="1"/>
    <col min="29" max="29" width="16.109375" bestFit="1" customWidth="1"/>
    <col min="30" max="30" width="22.44140625" bestFit="1" customWidth="1"/>
  </cols>
  <sheetData>
    <row r="1" spans="1:30" x14ac:dyDescent="0.3">
      <c r="A1" s="15" t="s">
        <v>0</v>
      </c>
      <c r="B1" s="15" t="s">
        <v>1</v>
      </c>
      <c r="C1" s="15" t="s">
        <v>2</v>
      </c>
      <c r="D1" s="15" t="s">
        <v>3</v>
      </c>
      <c r="E1" s="15" t="s">
        <v>4</v>
      </c>
      <c r="F1" s="15" t="s">
        <v>5</v>
      </c>
      <c r="G1" s="15" t="s">
        <v>6</v>
      </c>
      <c r="H1" s="15" t="s">
        <v>7</v>
      </c>
      <c r="I1" s="15" t="s">
        <v>8</v>
      </c>
      <c r="J1" s="16" t="s">
        <v>9</v>
      </c>
      <c r="K1" s="17" t="s">
        <v>10</v>
      </c>
      <c r="L1" s="18" t="s">
        <v>11</v>
      </c>
      <c r="M1" s="19" t="s">
        <v>12</v>
      </c>
      <c r="N1" s="15" t="s">
        <v>13</v>
      </c>
      <c r="O1" s="15" t="s">
        <v>14</v>
      </c>
      <c r="P1" s="15" t="s">
        <v>15</v>
      </c>
      <c r="Q1" s="15" t="s">
        <v>16</v>
      </c>
      <c r="R1" s="15" t="s">
        <v>17</v>
      </c>
      <c r="S1" s="15" t="s">
        <v>18</v>
      </c>
      <c r="T1" s="15" t="s">
        <v>19</v>
      </c>
      <c r="U1" s="15" t="s">
        <v>2509</v>
      </c>
      <c r="V1" s="15" t="s">
        <v>2844</v>
      </c>
      <c r="W1" s="15" t="s">
        <v>2845</v>
      </c>
      <c r="X1" s="15" t="s">
        <v>2846</v>
      </c>
      <c r="Y1" s="15" t="s">
        <v>2847</v>
      </c>
      <c r="Z1" s="15" t="s">
        <v>2848</v>
      </c>
      <c r="AA1" s="15" t="s">
        <v>2849</v>
      </c>
      <c r="AB1" s="15" t="s">
        <v>2850</v>
      </c>
      <c r="AC1" s="15" t="s">
        <v>2851</v>
      </c>
      <c r="AD1" s="15" t="s">
        <v>2852</v>
      </c>
    </row>
    <row r="2" spans="1:30" x14ac:dyDescent="0.3">
      <c r="A2" s="1" t="s">
        <v>20</v>
      </c>
      <c r="B2" s="1" t="s">
        <v>21</v>
      </c>
      <c r="C2" s="1" t="s">
        <v>197</v>
      </c>
      <c r="D2" s="1" t="s">
        <v>23</v>
      </c>
      <c r="E2" s="1" t="s">
        <v>24</v>
      </c>
      <c r="F2" s="1" t="s">
        <v>93</v>
      </c>
      <c r="G2" s="1">
        <v>24</v>
      </c>
      <c r="H2" s="1" t="s">
        <v>26</v>
      </c>
      <c r="I2" s="1" t="s">
        <v>27</v>
      </c>
      <c r="J2" s="5">
        <v>45059</v>
      </c>
      <c r="K2" s="8">
        <v>2.4</v>
      </c>
      <c r="L2" s="11">
        <v>1939110</v>
      </c>
      <c r="M2" s="12">
        <v>0.17679999999999998</v>
      </c>
      <c r="N2" s="7">
        <v>4</v>
      </c>
      <c r="O2" s="1" t="s">
        <v>76</v>
      </c>
      <c r="P2" s="1">
        <v>8389763738</v>
      </c>
      <c r="Q2" s="1" t="s">
        <v>2556</v>
      </c>
      <c r="R2" s="10">
        <v>72</v>
      </c>
      <c r="S2" s="10">
        <v>23</v>
      </c>
      <c r="T2" s="1" t="s">
        <v>32</v>
      </c>
      <c r="U2" t="str">
        <f t="shared" ref="U2:U65" si="0">IF(AND(ISNUMBER(FIND("@",Q2)),ISNUMBER(FIND(".",Q2))),
"Valid","Invalid")</f>
        <v>Invalid</v>
      </c>
      <c r="V2">
        <f>MONTH(J2)</f>
        <v>5</v>
      </c>
      <c r="W2" t="str">
        <f>TEXT(J2, "MMM")</f>
        <v>May</v>
      </c>
      <c r="X2">
        <f>YEAR(J2)</f>
        <v>2023</v>
      </c>
      <c r="Y2">
        <f ca="1">DATEDIF(J2,TODAY(), "Y")</f>
        <v>2</v>
      </c>
      <c r="Z2" t="str" cm="1">
        <f t="array" ref="Z2">_xlfn.IFS(G2&lt;30,"20-29",G2&lt;40,"30-39",G2&lt;50,"40-49",G2&gt;=50,"50+")</f>
        <v>20-29</v>
      </c>
      <c r="AA2" t="str" cm="1">
        <f t="array" ref="AA2">_xlfn.IFS(L2&lt;500000,"Band 1: &lt;5L", L2&lt;1000000,"Band 2: 5-10L", L2&lt;1500000,"Band 3: 10-15L", L2&lt;2000000,"Band 4: 15-20L", L2&gt;=2000000,"Band 5: 20L+")</f>
        <v>Band 4: 15-20L</v>
      </c>
      <c r="AB2" t="str" cm="1">
        <f t="array" ref="AB2">_xlfn.IFS(N2=1,"Poor", N2=2,"Below Average", N2=3,"Average", N2=4,"Good", N2=5,"Excellent")</f>
        <v>Good</v>
      </c>
      <c r="AC2" s="14">
        <f>L2*M2</f>
        <v>342834.64799999999</v>
      </c>
      <c r="AD2" t="str" cm="1">
        <f t="array" ref="AD2">_xlfn.IFS(K2&lt;2,"Junior (0-2 yrs)", K2&lt;5,"Mid-Level (2-5 yrs)", K2&lt;10,"Senior (5-10 yrs)", K2&gt;=10,"Expert (10+ yrs)")</f>
        <v>Mid-Level (2-5 yrs)</v>
      </c>
    </row>
    <row r="3" spans="1:30" x14ac:dyDescent="0.3">
      <c r="A3" s="1" t="s">
        <v>44</v>
      </c>
      <c r="B3" s="1" t="s">
        <v>45</v>
      </c>
      <c r="C3" s="1" t="s">
        <v>46</v>
      </c>
      <c r="D3" s="1" t="s">
        <v>83</v>
      </c>
      <c r="E3" s="1" t="s">
        <v>48</v>
      </c>
      <c r="F3" s="1" t="s">
        <v>37</v>
      </c>
      <c r="G3" s="1">
        <v>22</v>
      </c>
      <c r="H3" s="1" t="s">
        <v>50</v>
      </c>
      <c r="I3" s="1" t="s">
        <v>51</v>
      </c>
      <c r="J3" s="5">
        <v>44940</v>
      </c>
      <c r="K3" s="8">
        <v>15.5</v>
      </c>
      <c r="L3" s="11">
        <v>906497</v>
      </c>
      <c r="M3" s="12">
        <v>0.17300000000000001</v>
      </c>
      <c r="N3" s="7">
        <v>4</v>
      </c>
      <c r="O3" s="1" t="s">
        <v>41</v>
      </c>
      <c r="P3" s="1">
        <v>7293791975</v>
      </c>
      <c r="Q3" s="1" t="s">
        <v>2557</v>
      </c>
      <c r="R3" s="10">
        <v>42</v>
      </c>
      <c r="S3" s="10">
        <v>72</v>
      </c>
      <c r="T3" s="1" t="s">
        <v>55</v>
      </c>
      <c r="U3" t="str">
        <f t="shared" si="0"/>
        <v>Valid</v>
      </c>
      <c r="V3">
        <f t="shared" ref="V3:V66" si="1">MONTH(J3)</f>
        <v>1</v>
      </c>
      <c r="W3" t="str">
        <f t="shared" ref="W3:W66" si="2">TEXT(J3, "MMM")</f>
        <v>Jan</v>
      </c>
      <c r="X3">
        <f t="shared" ref="X3:X66" si="3">YEAR(J3)</f>
        <v>2023</v>
      </c>
      <c r="Y3">
        <f t="shared" ref="Y3:Y66" ca="1" si="4">DATEDIF(J3,TODAY(), "Y")</f>
        <v>3</v>
      </c>
      <c r="Z3" t="str" cm="1">
        <f t="array" ref="Z3">_xlfn.IFS(G3&lt;30,"20-29",G3&lt;40,"30-39",G3&lt;50,"40-49",G3&gt;=50,"50+")</f>
        <v>20-29</v>
      </c>
      <c r="AA3" t="str" cm="1">
        <f t="array" ref="AA3">_xlfn.IFS(L3&lt;500000,"Band 1: &lt;5L", L3&lt;1000000,"Band 2: 5-10L", L3&lt;1500000,"Band 3: 10-15L", L3&lt;2000000,"Band 4: 15-20L", L3&gt;=2000000,"Band 5: 20L+")</f>
        <v>Band 2: 5-10L</v>
      </c>
      <c r="AB3" t="str" cm="1">
        <f t="array" ref="AB3">_xlfn.IFS(N3=1,"Poor", N3=2,"Below Average", N3=3,"Average", N3=4,"Good", N3=5,"Excellent")</f>
        <v>Good</v>
      </c>
      <c r="AC3" s="14">
        <f t="shared" ref="AC3:AC66" si="5">L3*M3</f>
        <v>156823.981</v>
      </c>
      <c r="AD3" t="str" cm="1">
        <f t="array" ref="AD3">_xlfn.IFS(K3&lt;2,"Junior (0-2 yrs)", K3&lt;5,"Mid-Level (2-5 yrs)", K3&lt;10,"Senior (5-10 yrs)", K3&gt;=10,"Expert (10+ yrs)")</f>
        <v>Expert (10+ yrs)</v>
      </c>
    </row>
    <row r="4" spans="1:30" x14ac:dyDescent="0.3">
      <c r="A4" s="1" t="s">
        <v>67</v>
      </c>
      <c r="B4" s="1" t="s">
        <v>68</v>
      </c>
      <c r="C4" s="1" t="s">
        <v>69</v>
      </c>
      <c r="D4" s="1" t="s">
        <v>23</v>
      </c>
      <c r="E4" s="1" t="s">
        <v>71</v>
      </c>
      <c r="F4" s="1" t="s">
        <v>37</v>
      </c>
      <c r="G4" s="1">
        <v>29</v>
      </c>
      <c r="H4" s="1" t="s">
        <v>73</v>
      </c>
      <c r="I4" s="1" t="s">
        <v>74</v>
      </c>
      <c r="J4" s="5">
        <v>42624</v>
      </c>
      <c r="K4" s="8">
        <v>6.8</v>
      </c>
      <c r="L4" s="11">
        <v>652601</v>
      </c>
      <c r="M4" s="12">
        <v>4.7400000000000005E-2</v>
      </c>
      <c r="N4" s="7">
        <v>5</v>
      </c>
      <c r="O4" s="1" t="s">
        <v>76</v>
      </c>
      <c r="P4" s="1">
        <v>9785809193</v>
      </c>
      <c r="Q4" s="1" t="s">
        <v>2558</v>
      </c>
      <c r="R4" s="10">
        <v>35</v>
      </c>
      <c r="S4" s="10">
        <v>63</v>
      </c>
      <c r="T4" s="1" t="s">
        <v>79</v>
      </c>
      <c r="U4" t="str">
        <f t="shared" si="0"/>
        <v>Valid</v>
      </c>
      <c r="V4">
        <f t="shared" si="1"/>
        <v>9</v>
      </c>
      <c r="W4" t="str">
        <f t="shared" si="2"/>
        <v>Sep</v>
      </c>
      <c r="X4">
        <f t="shared" si="3"/>
        <v>2016</v>
      </c>
      <c r="Y4">
        <f t="shared" ca="1" si="4"/>
        <v>9</v>
      </c>
      <c r="Z4" t="str" cm="1">
        <f t="array" ref="Z4">_xlfn.IFS(G4&lt;30,"20-29",G4&lt;40,"30-39",G4&lt;50,"40-49",G4&gt;=50,"50+")</f>
        <v>20-29</v>
      </c>
      <c r="AA4" t="str" cm="1">
        <f t="array" ref="AA4">_xlfn.IFS(L4&lt;500000,"Band 1: &lt;5L", L4&lt;1000000,"Band 2: 5-10L", L4&lt;1500000,"Band 3: 10-15L", L4&lt;2000000,"Band 4: 15-20L", L4&gt;=2000000,"Band 5: 20L+")</f>
        <v>Band 2: 5-10L</v>
      </c>
      <c r="AB4" t="str" cm="1">
        <f t="array" ref="AB4">_xlfn.IFS(N4=1,"Poor", N4=2,"Below Average", N4=3,"Average", N4=4,"Good", N4=5,"Excellent")</f>
        <v>Excellent</v>
      </c>
      <c r="AC4" s="14">
        <f t="shared" si="5"/>
        <v>30933.287400000005</v>
      </c>
      <c r="AD4" t="str" cm="1">
        <f t="array" ref="AD4">_xlfn.IFS(K4&lt;2,"Junior (0-2 yrs)", K4&lt;5,"Mid-Level (2-5 yrs)", K4&lt;10,"Senior (5-10 yrs)", K4&gt;=10,"Expert (10+ yrs)")</f>
        <v>Senior (5-10 yrs)</v>
      </c>
    </row>
    <row r="5" spans="1:30" x14ac:dyDescent="0.3">
      <c r="A5" s="1" t="s">
        <v>80</v>
      </c>
      <c r="B5" s="1" t="s">
        <v>81</v>
      </c>
      <c r="C5" s="1" t="s">
        <v>110</v>
      </c>
      <c r="D5" s="1" t="s">
        <v>83</v>
      </c>
      <c r="E5" s="1" t="s">
        <v>36</v>
      </c>
      <c r="F5" s="1" t="s">
        <v>37</v>
      </c>
      <c r="G5" s="1">
        <v>30</v>
      </c>
      <c r="H5" s="1" t="s">
        <v>84</v>
      </c>
      <c r="I5" s="1" t="s">
        <v>51</v>
      </c>
      <c r="J5" s="5">
        <v>41481</v>
      </c>
      <c r="K5" s="8">
        <v>24.3</v>
      </c>
      <c r="L5" s="11">
        <v>972149</v>
      </c>
      <c r="M5" s="12">
        <v>0.23730000000000001</v>
      </c>
      <c r="N5" s="7">
        <v>3</v>
      </c>
      <c r="O5" s="1" t="s">
        <v>41</v>
      </c>
      <c r="P5" s="1">
        <v>8067614205</v>
      </c>
      <c r="Q5" s="1" t="s">
        <v>2559</v>
      </c>
      <c r="R5" s="10">
        <v>51</v>
      </c>
      <c r="S5" s="10">
        <v>94</v>
      </c>
      <c r="T5" s="1" t="s">
        <v>89</v>
      </c>
      <c r="U5" t="str">
        <f t="shared" si="0"/>
        <v>Valid</v>
      </c>
      <c r="V5">
        <f t="shared" si="1"/>
        <v>7</v>
      </c>
      <c r="W5" t="str">
        <f t="shared" si="2"/>
        <v>Jul</v>
      </c>
      <c r="X5">
        <f t="shared" si="3"/>
        <v>2013</v>
      </c>
      <c r="Y5">
        <f t="shared" ca="1" si="4"/>
        <v>12</v>
      </c>
      <c r="Z5" t="str" cm="1">
        <f t="array" ref="Z5">_xlfn.IFS(G5&lt;30,"20-29",G5&lt;40,"30-39",G5&lt;50,"40-49",G5&gt;=50,"50+")</f>
        <v>30-39</v>
      </c>
      <c r="AA5" t="str" cm="1">
        <f t="array" ref="AA5">_xlfn.IFS(L5&lt;500000,"Band 1: &lt;5L", L5&lt;1000000,"Band 2: 5-10L", L5&lt;1500000,"Band 3: 10-15L", L5&lt;2000000,"Band 4: 15-20L", L5&gt;=2000000,"Band 5: 20L+")</f>
        <v>Band 2: 5-10L</v>
      </c>
      <c r="AB5" t="str" cm="1">
        <f t="array" ref="AB5">_xlfn.IFS(N5=1,"Poor", N5=2,"Below Average", N5=3,"Average", N5=4,"Good", N5=5,"Excellent")</f>
        <v>Average</v>
      </c>
      <c r="AC5" s="14">
        <f t="shared" si="5"/>
        <v>230690.9577</v>
      </c>
      <c r="AD5" t="str" cm="1">
        <f t="array" ref="AD5">_xlfn.IFS(K5&lt;2,"Junior (0-2 yrs)", K5&lt;5,"Mid-Level (2-5 yrs)", K5&lt;10,"Senior (5-10 yrs)", K5&gt;=10,"Expert (10+ yrs)")</f>
        <v>Expert (10+ yrs)</v>
      </c>
    </row>
    <row r="6" spans="1:30" x14ac:dyDescent="0.3">
      <c r="A6" s="1" t="s">
        <v>108</v>
      </c>
      <c r="B6" s="1" t="s">
        <v>109</v>
      </c>
      <c r="C6" s="1" t="s">
        <v>110</v>
      </c>
      <c r="D6" s="1" t="s">
        <v>111</v>
      </c>
      <c r="E6" s="1" t="s">
        <v>24</v>
      </c>
      <c r="F6" s="1" t="s">
        <v>93</v>
      </c>
      <c r="G6" s="1">
        <v>25</v>
      </c>
      <c r="H6" s="1" t="s">
        <v>62</v>
      </c>
      <c r="I6" s="1" t="s">
        <v>74</v>
      </c>
      <c r="J6" s="5">
        <v>43111</v>
      </c>
      <c r="K6" s="8">
        <v>17.600000000000001</v>
      </c>
      <c r="L6" s="11">
        <v>1323161</v>
      </c>
      <c r="M6" s="12">
        <v>0.14730000000000001</v>
      </c>
      <c r="N6" s="7">
        <v>2</v>
      </c>
      <c r="O6" s="1" t="s">
        <v>41</v>
      </c>
      <c r="P6" s="1">
        <v>8897937786</v>
      </c>
      <c r="Q6" s="1" t="s">
        <v>2560</v>
      </c>
      <c r="R6" s="10">
        <v>38</v>
      </c>
      <c r="S6" s="10">
        <v>74</v>
      </c>
      <c r="T6" s="1" t="s">
        <v>115</v>
      </c>
      <c r="U6" t="str">
        <f t="shared" si="0"/>
        <v>Valid</v>
      </c>
      <c r="V6">
        <f t="shared" si="1"/>
        <v>1</v>
      </c>
      <c r="W6" t="str">
        <f t="shared" si="2"/>
        <v>Jan</v>
      </c>
      <c r="X6">
        <f t="shared" si="3"/>
        <v>2018</v>
      </c>
      <c r="Y6">
        <f t="shared" ca="1" si="4"/>
        <v>8</v>
      </c>
      <c r="Z6" t="str" cm="1">
        <f t="array" ref="Z6">_xlfn.IFS(G6&lt;30,"20-29",G6&lt;40,"30-39",G6&lt;50,"40-49",G6&gt;=50,"50+")</f>
        <v>20-29</v>
      </c>
      <c r="AA6" t="str" cm="1">
        <f t="array" ref="AA6">_xlfn.IFS(L6&lt;500000,"Band 1: &lt;5L", L6&lt;1000000,"Band 2: 5-10L", L6&lt;1500000,"Band 3: 10-15L", L6&lt;2000000,"Band 4: 15-20L", L6&gt;=2000000,"Band 5: 20L+")</f>
        <v>Band 3: 10-15L</v>
      </c>
      <c r="AB6" t="str" cm="1">
        <f t="array" ref="AB6">_xlfn.IFS(N6=1,"Poor", N6=2,"Below Average", N6=3,"Average", N6=4,"Good", N6=5,"Excellent")</f>
        <v>Below Average</v>
      </c>
      <c r="AC6" s="14">
        <f t="shared" si="5"/>
        <v>194901.6153</v>
      </c>
      <c r="AD6" t="str" cm="1">
        <f t="array" ref="AD6">_xlfn.IFS(K6&lt;2,"Junior (0-2 yrs)", K6&lt;5,"Mid-Level (2-5 yrs)", K6&lt;10,"Senior (5-10 yrs)", K6&gt;=10,"Expert (10+ yrs)")</f>
        <v>Expert (10+ yrs)</v>
      </c>
    </row>
    <row r="7" spans="1:30" x14ac:dyDescent="0.3">
      <c r="A7" s="1" t="s">
        <v>122</v>
      </c>
      <c r="B7" s="1" t="s">
        <v>123</v>
      </c>
      <c r="C7" s="1" t="s">
        <v>124</v>
      </c>
      <c r="D7" s="1" t="s">
        <v>111</v>
      </c>
      <c r="E7" s="1" t="s">
        <v>60</v>
      </c>
      <c r="F7" s="1" t="s">
        <v>93</v>
      </c>
      <c r="G7" s="1">
        <v>25</v>
      </c>
      <c r="H7" s="1" t="s">
        <v>50</v>
      </c>
      <c r="I7" s="1" t="s">
        <v>39</v>
      </c>
      <c r="J7" s="5">
        <v>45543</v>
      </c>
      <c r="K7" s="8">
        <v>14.5</v>
      </c>
      <c r="L7" s="11">
        <v>1972456</v>
      </c>
      <c r="M7" s="12">
        <v>0.1993</v>
      </c>
      <c r="N7" s="7">
        <v>3</v>
      </c>
      <c r="O7" s="1" t="s">
        <v>41</v>
      </c>
      <c r="P7" s="1">
        <v>9278231594</v>
      </c>
      <c r="Q7" s="1" t="s">
        <v>2561</v>
      </c>
      <c r="R7" s="10">
        <v>40</v>
      </c>
      <c r="S7" s="10">
        <v>87</v>
      </c>
      <c r="T7" s="1" t="s">
        <v>129</v>
      </c>
      <c r="U7" t="str">
        <f t="shared" si="0"/>
        <v>Invalid</v>
      </c>
      <c r="V7">
        <f t="shared" si="1"/>
        <v>9</v>
      </c>
      <c r="W7" t="str">
        <f t="shared" si="2"/>
        <v>Sep</v>
      </c>
      <c r="X7">
        <f t="shared" si="3"/>
        <v>2024</v>
      </c>
      <c r="Y7">
        <f t="shared" ca="1" si="4"/>
        <v>1</v>
      </c>
      <c r="Z7" t="str" cm="1">
        <f t="array" ref="Z7">_xlfn.IFS(G7&lt;30,"20-29",G7&lt;40,"30-39",G7&lt;50,"40-49",G7&gt;=50,"50+")</f>
        <v>20-29</v>
      </c>
      <c r="AA7" t="str" cm="1">
        <f t="array" ref="AA7">_xlfn.IFS(L7&lt;500000,"Band 1: &lt;5L", L7&lt;1000000,"Band 2: 5-10L", L7&lt;1500000,"Band 3: 10-15L", L7&lt;2000000,"Band 4: 15-20L", L7&gt;=2000000,"Band 5: 20L+")</f>
        <v>Band 4: 15-20L</v>
      </c>
      <c r="AB7" t="str" cm="1">
        <f t="array" ref="AB7">_xlfn.IFS(N7=1,"Poor", N7=2,"Below Average", N7=3,"Average", N7=4,"Good", N7=5,"Excellent")</f>
        <v>Average</v>
      </c>
      <c r="AC7" s="14">
        <f t="shared" si="5"/>
        <v>393110.48080000002</v>
      </c>
      <c r="AD7" t="str" cm="1">
        <f t="array" ref="AD7">_xlfn.IFS(K7&lt;2,"Junior (0-2 yrs)", K7&lt;5,"Mid-Level (2-5 yrs)", K7&lt;10,"Senior (5-10 yrs)", K7&gt;=10,"Expert (10+ yrs)")</f>
        <v>Expert (10+ yrs)</v>
      </c>
    </row>
    <row r="8" spans="1:30" x14ac:dyDescent="0.3">
      <c r="A8" s="1" t="s">
        <v>130</v>
      </c>
      <c r="B8" s="1" t="s">
        <v>131</v>
      </c>
      <c r="C8" s="1" t="s">
        <v>132</v>
      </c>
      <c r="D8" s="1" t="s">
        <v>83</v>
      </c>
      <c r="E8" s="1" t="s">
        <v>48</v>
      </c>
      <c r="F8" s="1" t="s">
        <v>37</v>
      </c>
      <c r="G8" s="1">
        <v>49</v>
      </c>
      <c r="H8" s="1" t="s">
        <v>84</v>
      </c>
      <c r="I8" s="1" t="s">
        <v>51</v>
      </c>
      <c r="J8" s="5">
        <v>45606</v>
      </c>
      <c r="K8" s="8">
        <v>16.8</v>
      </c>
      <c r="L8" s="11">
        <v>539572</v>
      </c>
      <c r="M8" s="12">
        <v>9.5299999999999996E-2</v>
      </c>
      <c r="N8" s="7">
        <v>4</v>
      </c>
      <c r="O8" s="1" t="s">
        <v>41</v>
      </c>
      <c r="P8" s="1">
        <v>9440843025</v>
      </c>
      <c r="Q8" s="1" t="s">
        <v>2562</v>
      </c>
      <c r="R8" s="10">
        <v>30</v>
      </c>
      <c r="S8" s="10">
        <v>1</v>
      </c>
      <c r="T8" s="1" t="s">
        <v>138</v>
      </c>
      <c r="U8" t="str">
        <f t="shared" si="0"/>
        <v>Invalid</v>
      </c>
      <c r="V8">
        <f t="shared" si="1"/>
        <v>11</v>
      </c>
      <c r="W8" t="str">
        <f t="shared" si="2"/>
        <v>Nov</v>
      </c>
      <c r="X8">
        <f t="shared" si="3"/>
        <v>2024</v>
      </c>
      <c r="Y8">
        <f t="shared" ca="1" si="4"/>
        <v>1</v>
      </c>
      <c r="Z8" t="str" cm="1">
        <f t="array" ref="Z8">_xlfn.IFS(G8&lt;30,"20-29",G8&lt;40,"30-39",G8&lt;50,"40-49",G8&gt;=50,"50+")</f>
        <v>40-49</v>
      </c>
      <c r="AA8" t="str" cm="1">
        <f t="array" ref="AA8">_xlfn.IFS(L8&lt;500000,"Band 1: &lt;5L", L8&lt;1000000,"Band 2: 5-10L", L8&lt;1500000,"Band 3: 10-15L", L8&lt;2000000,"Band 4: 15-20L", L8&gt;=2000000,"Band 5: 20L+")</f>
        <v>Band 2: 5-10L</v>
      </c>
      <c r="AB8" t="str" cm="1">
        <f t="array" ref="AB8">_xlfn.IFS(N8=1,"Poor", N8=2,"Below Average", N8=3,"Average", N8=4,"Good", N8=5,"Excellent")</f>
        <v>Good</v>
      </c>
      <c r="AC8" s="14">
        <f t="shared" si="5"/>
        <v>51421.211599999995</v>
      </c>
      <c r="AD8" t="str" cm="1">
        <f t="array" ref="AD8">_xlfn.IFS(K8&lt;2,"Junior (0-2 yrs)", K8&lt;5,"Mid-Level (2-5 yrs)", K8&lt;10,"Senior (5-10 yrs)", K8&gt;=10,"Expert (10+ yrs)")</f>
        <v>Expert (10+ yrs)</v>
      </c>
    </row>
    <row r="9" spans="1:30" x14ac:dyDescent="0.3">
      <c r="A9" s="1" t="s">
        <v>139</v>
      </c>
      <c r="B9" s="1" t="s">
        <v>140</v>
      </c>
      <c r="C9" s="1" t="s">
        <v>69</v>
      </c>
      <c r="D9" s="1" t="s">
        <v>83</v>
      </c>
      <c r="E9" s="1" t="s">
        <v>48</v>
      </c>
      <c r="F9" s="1" t="s">
        <v>37</v>
      </c>
      <c r="G9" s="1">
        <v>27</v>
      </c>
      <c r="H9" s="1" t="s">
        <v>142</v>
      </c>
      <c r="I9" s="1" t="s">
        <v>27</v>
      </c>
      <c r="J9" s="5">
        <v>43371</v>
      </c>
      <c r="K9" s="8">
        <v>26.6</v>
      </c>
      <c r="L9" s="11">
        <v>395292</v>
      </c>
      <c r="M9" s="12">
        <v>8.0700000000000008E-2</v>
      </c>
      <c r="N9" s="7">
        <v>3</v>
      </c>
      <c r="O9" s="1" t="s">
        <v>41</v>
      </c>
      <c r="P9" s="1">
        <v>7752525490</v>
      </c>
      <c r="Q9" s="1" t="s">
        <v>2522</v>
      </c>
      <c r="R9" s="10">
        <v>3</v>
      </c>
      <c r="S9" s="10">
        <v>59</v>
      </c>
      <c r="T9" s="1" t="s">
        <v>146</v>
      </c>
      <c r="U9" t="str">
        <f t="shared" si="0"/>
        <v>Invalid</v>
      </c>
      <c r="V9">
        <f t="shared" si="1"/>
        <v>9</v>
      </c>
      <c r="W9" t="str">
        <f t="shared" si="2"/>
        <v>Sep</v>
      </c>
      <c r="X9">
        <f t="shared" si="3"/>
        <v>2018</v>
      </c>
      <c r="Y9">
        <f t="shared" ca="1" si="4"/>
        <v>7</v>
      </c>
      <c r="Z9" t="str" cm="1">
        <f t="array" ref="Z9">_xlfn.IFS(G9&lt;30,"20-29",G9&lt;40,"30-39",G9&lt;50,"40-49",G9&gt;=50,"50+")</f>
        <v>20-29</v>
      </c>
      <c r="AA9" t="str" cm="1">
        <f t="array" ref="AA9">_xlfn.IFS(L9&lt;500000,"Band 1: &lt;5L", L9&lt;1000000,"Band 2: 5-10L", L9&lt;1500000,"Band 3: 10-15L", L9&lt;2000000,"Band 4: 15-20L", L9&gt;=2000000,"Band 5: 20L+")</f>
        <v>Band 1: &lt;5L</v>
      </c>
      <c r="AB9" t="str" cm="1">
        <f t="array" ref="AB9">_xlfn.IFS(N9=1,"Poor", N9=2,"Below Average", N9=3,"Average", N9=4,"Good", N9=5,"Excellent")</f>
        <v>Average</v>
      </c>
      <c r="AC9" s="14">
        <f t="shared" si="5"/>
        <v>31900.064400000003</v>
      </c>
      <c r="AD9" t="str" cm="1">
        <f t="array" ref="AD9">_xlfn.IFS(K9&lt;2,"Junior (0-2 yrs)", K9&lt;5,"Mid-Level (2-5 yrs)", K9&lt;10,"Senior (5-10 yrs)", K9&gt;=10,"Expert (10+ yrs)")</f>
        <v>Expert (10+ yrs)</v>
      </c>
    </row>
    <row r="10" spans="1:30" x14ac:dyDescent="0.3">
      <c r="A10" s="1" t="s">
        <v>147</v>
      </c>
      <c r="B10" s="1" t="s">
        <v>148</v>
      </c>
      <c r="C10" s="1" t="s">
        <v>132</v>
      </c>
      <c r="D10" s="1" t="s">
        <v>83</v>
      </c>
      <c r="E10" s="1" t="s">
        <v>102</v>
      </c>
      <c r="F10" s="1" t="s">
        <v>37</v>
      </c>
      <c r="G10" s="1">
        <v>47</v>
      </c>
      <c r="H10" s="1" t="s">
        <v>26</v>
      </c>
      <c r="I10" s="1" t="s">
        <v>51</v>
      </c>
      <c r="J10" s="5">
        <v>42600</v>
      </c>
      <c r="K10" s="8">
        <v>29.7</v>
      </c>
      <c r="L10" s="11">
        <v>1553428</v>
      </c>
      <c r="M10" s="12">
        <v>0.24559999999999998</v>
      </c>
      <c r="N10" s="7">
        <v>4</v>
      </c>
      <c r="O10" s="1" t="s">
        <v>41</v>
      </c>
      <c r="P10" s="1">
        <v>7600406558</v>
      </c>
      <c r="Q10" s="1" t="s">
        <v>2563</v>
      </c>
      <c r="R10" s="10">
        <v>51</v>
      </c>
      <c r="S10" s="10">
        <v>80</v>
      </c>
      <c r="T10" s="1" t="s">
        <v>152</v>
      </c>
      <c r="U10" t="str">
        <f t="shared" si="0"/>
        <v>Invalid</v>
      </c>
      <c r="V10">
        <f t="shared" si="1"/>
        <v>8</v>
      </c>
      <c r="W10" t="str">
        <f t="shared" si="2"/>
        <v>Aug</v>
      </c>
      <c r="X10">
        <f t="shared" si="3"/>
        <v>2016</v>
      </c>
      <c r="Y10">
        <f t="shared" ca="1" si="4"/>
        <v>9</v>
      </c>
      <c r="Z10" t="str" cm="1">
        <f t="array" ref="Z10">_xlfn.IFS(G10&lt;30,"20-29",G10&lt;40,"30-39",G10&lt;50,"40-49",G10&gt;=50,"50+")</f>
        <v>40-49</v>
      </c>
      <c r="AA10" t="str" cm="1">
        <f t="array" ref="AA10">_xlfn.IFS(L10&lt;500000,"Band 1: &lt;5L", L10&lt;1000000,"Band 2: 5-10L", L10&lt;1500000,"Band 3: 10-15L", L10&lt;2000000,"Band 4: 15-20L", L10&gt;=2000000,"Band 5: 20L+")</f>
        <v>Band 4: 15-20L</v>
      </c>
      <c r="AB10" t="str" cm="1">
        <f t="array" ref="AB10">_xlfn.IFS(N10=1,"Poor", N10=2,"Below Average", N10=3,"Average", N10=4,"Good", N10=5,"Excellent")</f>
        <v>Good</v>
      </c>
      <c r="AC10" s="14">
        <f t="shared" si="5"/>
        <v>381521.91679999995</v>
      </c>
      <c r="AD10" t="str" cm="1">
        <f t="array" ref="AD10">_xlfn.IFS(K10&lt;2,"Junior (0-2 yrs)", K10&lt;5,"Mid-Level (2-5 yrs)", K10&lt;10,"Senior (5-10 yrs)", K10&gt;=10,"Expert (10+ yrs)")</f>
        <v>Expert (10+ yrs)</v>
      </c>
    </row>
    <row r="11" spans="1:30" x14ac:dyDescent="0.3">
      <c r="A11" s="1" t="s">
        <v>153</v>
      </c>
      <c r="B11" s="1" t="s">
        <v>154</v>
      </c>
      <c r="C11" s="1" t="s">
        <v>110</v>
      </c>
      <c r="D11" s="1" t="s">
        <v>111</v>
      </c>
      <c r="E11" s="1" t="s">
        <v>155</v>
      </c>
      <c r="F11" s="1" t="s">
        <v>37</v>
      </c>
      <c r="G11" s="1">
        <v>27</v>
      </c>
      <c r="H11" s="1" t="s">
        <v>73</v>
      </c>
      <c r="I11" s="1" t="s">
        <v>27</v>
      </c>
      <c r="J11" s="5">
        <v>44477</v>
      </c>
      <c r="K11" s="8">
        <v>4.5999999999999996</v>
      </c>
      <c r="L11" s="11">
        <v>2137036</v>
      </c>
      <c r="M11" s="12">
        <v>4.0999999999999995E-3</v>
      </c>
      <c r="N11" s="7">
        <v>2</v>
      </c>
      <c r="O11" s="1" t="s">
        <v>41</v>
      </c>
      <c r="P11" s="1">
        <v>9146127091</v>
      </c>
      <c r="Q11" s="1" t="s">
        <v>2564</v>
      </c>
      <c r="R11" s="10">
        <v>43</v>
      </c>
      <c r="S11" s="10">
        <v>5</v>
      </c>
      <c r="T11" s="1" t="s">
        <v>159</v>
      </c>
      <c r="U11" t="str">
        <f t="shared" si="0"/>
        <v>Valid</v>
      </c>
      <c r="V11">
        <f t="shared" si="1"/>
        <v>10</v>
      </c>
      <c r="W11" t="str">
        <f t="shared" si="2"/>
        <v>Oct</v>
      </c>
      <c r="X11">
        <f t="shared" si="3"/>
        <v>2021</v>
      </c>
      <c r="Y11">
        <f t="shared" ca="1" si="4"/>
        <v>4</v>
      </c>
      <c r="Z11" t="str" cm="1">
        <f t="array" ref="Z11">_xlfn.IFS(G11&lt;30,"20-29",G11&lt;40,"30-39",G11&lt;50,"40-49",G11&gt;=50,"50+")</f>
        <v>20-29</v>
      </c>
      <c r="AA11" t="str" cm="1">
        <f t="array" ref="AA11">_xlfn.IFS(L11&lt;500000,"Band 1: &lt;5L", L11&lt;1000000,"Band 2: 5-10L", L11&lt;1500000,"Band 3: 10-15L", L11&lt;2000000,"Band 4: 15-20L", L11&gt;=2000000,"Band 5: 20L+")</f>
        <v>Band 5: 20L+</v>
      </c>
      <c r="AB11" t="str" cm="1">
        <f t="array" ref="AB11">_xlfn.IFS(N11=1,"Poor", N11=2,"Below Average", N11=3,"Average", N11=4,"Good", N11=5,"Excellent")</f>
        <v>Below Average</v>
      </c>
      <c r="AC11" s="14">
        <f t="shared" si="5"/>
        <v>8761.8475999999991</v>
      </c>
      <c r="AD11" t="str" cm="1">
        <f t="array" ref="AD11">_xlfn.IFS(K11&lt;2,"Junior (0-2 yrs)", K11&lt;5,"Mid-Level (2-5 yrs)", K11&lt;10,"Senior (5-10 yrs)", K11&gt;=10,"Expert (10+ yrs)")</f>
        <v>Mid-Level (2-5 yrs)</v>
      </c>
    </row>
    <row r="12" spans="1:30" x14ac:dyDescent="0.3">
      <c r="A12" s="1" t="s">
        <v>160</v>
      </c>
      <c r="B12" s="1" t="s">
        <v>2510</v>
      </c>
      <c r="C12" s="1" t="s">
        <v>110</v>
      </c>
      <c r="D12" s="1" t="s">
        <v>23</v>
      </c>
      <c r="E12" s="1" t="s">
        <v>155</v>
      </c>
      <c r="F12" s="1" t="s">
        <v>93</v>
      </c>
      <c r="G12" s="1">
        <v>32</v>
      </c>
      <c r="H12" s="1" t="s">
        <v>50</v>
      </c>
      <c r="I12" s="1" t="s">
        <v>27</v>
      </c>
      <c r="J12" s="5">
        <v>44046</v>
      </c>
      <c r="K12" s="8">
        <v>27.2</v>
      </c>
      <c r="L12" s="11">
        <v>528785</v>
      </c>
      <c r="M12" s="12">
        <v>0.11269999999999999</v>
      </c>
      <c r="N12" s="7">
        <v>2</v>
      </c>
      <c r="O12" s="1" t="s">
        <v>41</v>
      </c>
      <c r="P12" s="1">
        <v>9989787464</v>
      </c>
      <c r="Q12" s="1" t="s">
        <v>2565</v>
      </c>
      <c r="R12" s="10">
        <v>75</v>
      </c>
      <c r="S12" s="10">
        <v>114</v>
      </c>
      <c r="T12" s="1" t="s">
        <v>165</v>
      </c>
      <c r="U12" t="str">
        <f t="shared" si="0"/>
        <v>Invalid</v>
      </c>
      <c r="V12">
        <f t="shared" si="1"/>
        <v>8</v>
      </c>
      <c r="W12" t="str">
        <f t="shared" si="2"/>
        <v>Aug</v>
      </c>
      <c r="X12">
        <f t="shared" si="3"/>
        <v>2020</v>
      </c>
      <c r="Y12">
        <f t="shared" ca="1" si="4"/>
        <v>5</v>
      </c>
      <c r="Z12" t="str" cm="1">
        <f t="array" ref="Z12">_xlfn.IFS(G12&lt;30,"20-29",G12&lt;40,"30-39",G12&lt;50,"40-49",G12&gt;=50,"50+")</f>
        <v>30-39</v>
      </c>
      <c r="AA12" t="str" cm="1">
        <f t="array" ref="AA12">_xlfn.IFS(L12&lt;500000,"Band 1: &lt;5L", L12&lt;1000000,"Band 2: 5-10L", L12&lt;1500000,"Band 3: 10-15L", L12&lt;2000000,"Band 4: 15-20L", L12&gt;=2000000,"Band 5: 20L+")</f>
        <v>Band 2: 5-10L</v>
      </c>
      <c r="AB12" t="str" cm="1">
        <f t="array" ref="AB12">_xlfn.IFS(N12=1,"Poor", N12=2,"Below Average", N12=3,"Average", N12=4,"Good", N12=5,"Excellent")</f>
        <v>Below Average</v>
      </c>
      <c r="AC12" s="14">
        <f t="shared" si="5"/>
        <v>59594.069499999998</v>
      </c>
      <c r="AD12" t="str" cm="1">
        <f t="array" ref="AD12">_xlfn.IFS(K12&lt;2,"Junior (0-2 yrs)", K12&lt;5,"Mid-Level (2-5 yrs)", K12&lt;10,"Senior (5-10 yrs)", K12&gt;=10,"Expert (10+ yrs)")</f>
        <v>Expert (10+ yrs)</v>
      </c>
    </row>
    <row r="13" spans="1:30" x14ac:dyDescent="0.3">
      <c r="A13" s="1" t="s">
        <v>166</v>
      </c>
      <c r="B13" s="1" t="s">
        <v>167</v>
      </c>
      <c r="C13" s="1" t="s">
        <v>46</v>
      </c>
      <c r="D13" s="1" t="s">
        <v>23</v>
      </c>
      <c r="E13" s="1" t="s">
        <v>168</v>
      </c>
      <c r="F13" s="1" t="s">
        <v>37</v>
      </c>
      <c r="G13" s="1">
        <v>32</v>
      </c>
      <c r="H13" s="1" t="s">
        <v>62</v>
      </c>
      <c r="I13" s="1" t="s">
        <v>27</v>
      </c>
      <c r="J13" s="5">
        <v>45038</v>
      </c>
      <c r="K13" s="8">
        <v>19.2</v>
      </c>
      <c r="L13" s="11">
        <v>1490286</v>
      </c>
      <c r="M13" s="12">
        <v>1.8200000000000001E-2</v>
      </c>
      <c r="N13" s="7">
        <v>4</v>
      </c>
      <c r="O13" s="1" t="s">
        <v>76</v>
      </c>
      <c r="P13" s="1">
        <v>8051590706</v>
      </c>
      <c r="Q13" s="1" t="s">
        <v>2566</v>
      </c>
      <c r="R13" s="10">
        <v>80</v>
      </c>
      <c r="S13" s="10">
        <v>91</v>
      </c>
      <c r="T13" s="1" t="s">
        <v>172</v>
      </c>
      <c r="U13" t="str">
        <f t="shared" si="0"/>
        <v>Invalid</v>
      </c>
      <c r="V13">
        <f t="shared" si="1"/>
        <v>4</v>
      </c>
      <c r="W13" t="str">
        <f t="shared" si="2"/>
        <v>Apr</v>
      </c>
      <c r="X13">
        <f t="shared" si="3"/>
        <v>2023</v>
      </c>
      <c r="Y13">
        <f t="shared" ca="1" si="4"/>
        <v>2</v>
      </c>
      <c r="Z13" t="str" cm="1">
        <f t="array" ref="Z13">_xlfn.IFS(G13&lt;30,"20-29",G13&lt;40,"30-39",G13&lt;50,"40-49",G13&gt;=50,"50+")</f>
        <v>30-39</v>
      </c>
      <c r="AA13" t="str" cm="1">
        <f t="array" ref="AA13">_xlfn.IFS(L13&lt;500000,"Band 1: &lt;5L", L13&lt;1000000,"Band 2: 5-10L", L13&lt;1500000,"Band 3: 10-15L", L13&lt;2000000,"Band 4: 15-20L", L13&gt;=2000000,"Band 5: 20L+")</f>
        <v>Band 3: 10-15L</v>
      </c>
      <c r="AB13" t="str" cm="1">
        <f t="array" ref="AB13">_xlfn.IFS(N13=1,"Poor", N13=2,"Below Average", N13=3,"Average", N13=4,"Good", N13=5,"Excellent")</f>
        <v>Good</v>
      </c>
      <c r="AC13" s="14">
        <f t="shared" si="5"/>
        <v>27123.2052</v>
      </c>
      <c r="AD13" t="str" cm="1">
        <f t="array" ref="AD13">_xlfn.IFS(K13&lt;2,"Junior (0-2 yrs)", K13&lt;5,"Mid-Level (2-5 yrs)", K13&lt;10,"Senior (5-10 yrs)", K13&gt;=10,"Expert (10+ yrs)")</f>
        <v>Expert (10+ yrs)</v>
      </c>
    </row>
    <row r="14" spans="1:30" x14ac:dyDescent="0.3">
      <c r="A14" s="1" t="s">
        <v>173</v>
      </c>
      <c r="B14" s="1" t="s">
        <v>174</v>
      </c>
      <c r="C14" s="1" t="s">
        <v>46</v>
      </c>
      <c r="D14" s="1" t="s">
        <v>23</v>
      </c>
      <c r="E14" s="1" t="s">
        <v>175</v>
      </c>
      <c r="F14" s="1" t="s">
        <v>37</v>
      </c>
      <c r="G14" s="1">
        <v>28</v>
      </c>
      <c r="H14" s="1" t="s">
        <v>73</v>
      </c>
      <c r="I14" s="1" t="s">
        <v>39</v>
      </c>
      <c r="J14" s="5">
        <v>40391</v>
      </c>
      <c r="K14" s="8">
        <v>5.4</v>
      </c>
      <c r="L14" s="11">
        <v>1667398</v>
      </c>
      <c r="M14" s="12">
        <v>0.17730000000000001</v>
      </c>
      <c r="N14" s="7">
        <v>4</v>
      </c>
      <c r="O14" s="1" t="s">
        <v>76</v>
      </c>
      <c r="P14" s="1">
        <v>7834957049</v>
      </c>
      <c r="Q14" s="1" t="s">
        <v>2567</v>
      </c>
      <c r="R14" s="10">
        <v>59</v>
      </c>
      <c r="S14" s="10">
        <v>8</v>
      </c>
      <c r="T14" s="1" t="s">
        <v>179</v>
      </c>
      <c r="U14" t="str">
        <f t="shared" si="0"/>
        <v>Valid</v>
      </c>
      <c r="V14">
        <f t="shared" si="1"/>
        <v>8</v>
      </c>
      <c r="W14" t="str">
        <f t="shared" si="2"/>
        <v>Aug</v>
      </c>
      <c r="X14">
        <f t="shared" si="3"/>
        <v>2010</v>
      </c>
      <c r="Y14">
        <f t="shared" ca="1" si="4"/>
        <v>15</v>
      </c>
      <c r="Z14" t="str" cm="1">
        <f t="array" ref="Z14">_xlfn.IFS(G14&lt;30,"20-29",G14&lt;40,"30-39",G14&lt;50,"40-49",G14&gt;=50,"50+")</f>
        <v>20-29</v>
      </c>
      <c r="AA14" t="str" cm="1">
        <f t="array" ref="AA14">_xlfn.IFS(L14&lt;500000,"Band 1: &lt;5L", L14&lt;1000000,"Band 2: 5-10L", L14&lt;1500000,"Band 3: 10-15L", L14&lt;2000000,"Band 4: 15-20L", L14&gt;=2000000,"Band 5: 20L+")</f>
        <v>Band 4: 15-20L</v>
      </c>
      <c r="AB14" t="str" cm="1">
        <f t="array" ref="AB14">_xlfn.IFS(N14=1,"Poor", N14=2,"Below Average", N14=3,"Average", N14=4,"Good", N14=5,"Excellent")</f>
        <v>Good</v>
      </c>
      <c r="AC14" s="14">
        <f t="shared" si="5"/>
        <v>295629.6654</v>
      </c>
      <c r="AD14" t="str" cm="1">
        <f t="array" ref="AD14">_xlfn.IFS(K14&lt;2,"Junior (0-2 yrs)", K14&lt;5,"Mid-Level (2-5 yrs)", K14&lt;10,"Senior (5-10 yrs)", K14&gt;=10,"Expert (10+ yrs)")</f>
        <v>Senior (5-10 yrs)</v>
      </c>
    </row>
    <row r="15" spans="1:30" x14ac:dyDescent="0.3">
      <c r="A15" s="1" t="s">
        <v>180</v>
      </c>
      <c r="B15" s="1" t="s">
        <v>181</v>
      </c>
      <c r="C15" s="1" t="s">
        <v>110</v>
      </c>
      <c r="D15" s="1" t="s">
        <v>231</v>
      </c>
      <c r="E15" s="1" t="s">
        <v>36</v>
      </c>
      <c r="F15" s="1" t="s">
        <v>37</v>
      </c>
      <c r="G15" s="1">
        <v>44</v>
      </c>
      <c r="H15" s="1" t="s">
        <v>73</v>
      </c>
      <c r="I15" s="1" t="s">
        <v>51</v>
      </c>
      <c r="J15" s="5">
        <v>42698</v>
      </c>
      <c r="K15" s="8">
        <v>8.3000000000000007</v>
      </c>
      <c r="L15" s="11">
        <v>340782</v>
      </c>
      <c r="M15" s="12">
        <v>6.7299999999999999E-2</v>
      </c>
      <c r="N15" s="7">
        <v>2</v>
      </c>
      <c r="O15" s="1" t="s">
        <v>41</v>
      </c>
      <c r="P15" s="1">
        <v>9046790105</v>
      </c>
      <c r="Q15" s="1" t="s">
        <v>2568</v>
      </c>
      <c r="R15" s="10">
        <v>24</v>
      </c>
      <c r="S15" s="10">
        <v>25</v>
      </c>
      <c r="T15" s="1" t="s">
        <v>186</v>
      </c>
      <c r="U15" t="str">
        <f t="shared" si="0"/>
        <v>Invalid</v>
      </c>
      <c r="V15">
        <f t="shared" si="1"/>
        <v>11</v>
      </c>
      <c r="W15" t="str">
        <f t="shared" si="2"/>
        <v>Nov</v>
      </c>
      <c r="X15">
        <f t="shared" si="3"/>
        <v>2016</v>
      </c>
      <c r="Y15">
        <f t="shared" ca="1" si="4"/>
        <v>9</v>
      </c>
      <c r="Z15" t="str" cm="1">
        <f t="array" ref="Z15">_xlfn.IFS(G15&lt;30,"20-29",G15&lt;40,"30-39",G15&lt;50,"40-49",G15&gt;=50,"50+")</f>
        <v>40-49</v>
      </c>
      <c r="AA15" t="str" cm="1">
        <f t="array" ref="AA15">_xlfn.IFS(L15&lt;500000,"Band 1: &lt;5L", L15&lt;1000000,"Band 2: 5-10L", L15&lt;1500000,"Band 3: 10-15L", L15&lt;2000000,"Band 4: 15-20L", L15&gt;=2000000,"Band 5: 20L+")</f>
        <v>Band 1: &lt;5L</v>
      </c>
      <c r="AB15" t="str" cm="1">
        <f t="array" ref="AB15">_xlfn.IFS(N15=1,"Poor", N15=2,"Below Average", N15=3,"Average", N15=4,"Good", N15=5,"Excellent")</f>
        <v>Below Average</v>
      </c>
      <c r="AC15" s="14">
        <f t="shared" si="5"/>
        <v>22934.6286</v>
      </c>
      <c r="AD15" t="str" cm="1">
        <f t="array" ref="AD15">_xlfn.IFS(K15&lt;2,"Junior (0-2 yrs)", K15&lt;5,"Mid-Level (2-5 yrs)", K15&lt;10,"Senior (5-10 yrs)", K15&gt;=10,"Expert (10+ yrs)")</f>
        <v>Senior (5-10 yrs)</v>
      </c>
    </row>
    <row r="16" spans="1:30" x14ac:dyDescent="0.3">
      <c r="A16" s="1" t="s">
        <v>187</v>
      </c>
      <c r="B16" s="1" t="s">
        <v>188</v>
      </c>
      <c r="C16" s="1" t="s">
        <v>46</v>
      </c>
      <c r="D16" s="1" t="s">
        <v>111</v>
      </c>
      <c r="E16" s="1" t="s">
        <v>189</v>
      </c>
      <c r="F16" s="1" t="s">
        <v>93</v>
      </c>
      <c r="G16" s="1">
        <v>32</v>
      </c>
      <c r="H16" s="1" t="s">
        <v>142</v>
      </c>
      <c r="I16" s="1" t="s">
        <v>51</v>
      </c>
      <c r="J16" s="5">
        <v>44548</v>
      </c>
      <c r="K16" s="8">
        <v>6.1</v>
      </c>
      <c r="L16" s="11">
        <v>1688711</v>
      </c>
      <c r="M16" s="12">
        <v>3.8399999999999997E-2</v>
      </c>
      <c r="N16" s="7">
        <v>5</v>
      </c>
      <c r="O16" s="1" t="s">
        <v>41</v>
      </c>
      <c r="P16" s="1">
        <v>7213182609</v>
      </c>
      <c r="Q16" s="1" t="s">
        <v>2569</v>
      </c>
      <c r="R16" s="10">
        <v>54</v>
      </c>
      <c r="S16" s="10">
        <v>105</v>
      </c>
      <c r="T16" s="1" t="s">
        <v>194</v>
      </c>
      <c r="U16" t="str">
        <f t="shared" si="0"/>
        <v>Valid</v>
      </c>
      <c r="V16">
        <f t="shared" si="1"/>
        <v>12</v>
      </c>
      <c r="W16" t="str">
        <f t="shared" si="2"/>
        <v>Dec</v>
      </c>
      <c r="X16">
        <f t="shared" si="3"/>
        <v>2021</v>
      </c>
      <c r="Y16">
        <f t="shared" ca="1" si="4"/>
        <v>4</v>
      </c>
      <c r="Z16" t="str" cm="1">
        <f t="array" ref="Z16">_xlfn.IFS(G16&lt;30,"20-29",G16&lt;40,"30-39",G16&lt;50,"40-49",G16&gt;=50,"50+")</f>
        <v>30-39</v>
      </c>
      <c r="AA16" t="str" cm="1">
        <f t="array" ref="AA16">_xlfn.IFS(L16&lt;500000,"Band 1: &lt;5L", L16&lt;1000000,"Band 2: 5-10L", L16&lt;1500000,"Band 3: 10-15L", L16&lt;2000000,"Band 4: 15-20L", L16&gt;=2000000,"Band 5: 20L+")</f>
        <v>Band 4: 15-20L</v>
      </c>
      <c r="AB16" t="str" cm="1">
        <f t="array" ref="AB16">_xlfn.IFS(N16=1,"Poor", N16=2,"Below Average", N16=3,"Average", N16=4,"Good", N16=5,"Excellent")</f>
        <v>Excellent</v>
      </c>
      <c r="AC16" s="14">
        <f t="shared" si="5"/>
        <v>64846.502399999998</v>
      </c>
      <c r="AD16" t="str" cm="1">
        <f t="array" ref="AD16">_xlfn.IFS(K16&lt;2,"Junior (0-2 yrs)", K16&lt;5,"Mid-Level (2-5 yrs)", K16&lt;10,"Senior (5-10 yrs)", K16&gt;=10,"Expert (10+ yrs)")</f>
        <v>Senior (5-10 yrs)</v>
      </c>
    </row>
    <row r="17" spans="1:30" x14ac:dyDescent="0.3">
      <c r="A17" s="1" t="s">
        <v>208</v>
      </c>
      <c r="B17" s="1" t="s">
        <v>209</v>
      </c>
      <c r="C17" s="1" t="s">
        <v>110</v>
      </c>
      <c r="D17" s="1" t="s">
        <v>83</v>
      </c>
      <c r="E17" s="1" t="s">
        <v>102</v>
      </c>
      <c r="F17" s="1" t="s">
        <v>93</v>
      </c>
      <c r="G17" s="1">
        <v>22</v>
      </c>
      <c r="H17" s="1" t="s">
        <v>50</v>
      </c>
      <c r="I17" s="1" t="s">
        <v>74</v>
      </c>
      <c r="J17" s="5">
        <v>42072</v>
      </c>
      <c r="K17" s="8">
        <v>22.3</v>
      </c>
      <c r="L17" s="11">
        <v>1032383</v>
      </c>
      <c r="M17" s="12">
        <v>0.1489</v>
      </c>
      <c r="N17" s="7">
        <v>4</v>
      </c>
      <c r="O17" s="1" t="s">
        <v>76</v>
      </c>
      <c r="P17" s="1">
        <v>7142122736</v>
      </c>
      <c r="Q17" s="1" t="s">
        <v>2570</v>
      </c>
      <c r="R17" s="10">
        <v>63</v>
      </c>
      <c r="S17" s="10">
        <v>52</v>
      </c>
      <c r="T17" s="1" t="s">
        <v>213</v>
      </c>
      <c r="U17" t="str">
        <f t="shared" si="0"/>
        <v>Valid</v>
      </c>
      <c r="V17">
        <f t="shared" si="1"/>
        <v>3</v>
      </c>
      <c r="W17" t="str">
        <f t="shared" si="2"/>
        <v>Mar</v>
      </c>
      <c r="X17">
        <f t="shared" si="3"/>
        <v>2015</v>
      </c>
      <c r="Y17">
        <f t="shared" ca="1" si="4"/>
        <v>11</v>
      </c>
      <c r="Z17" t="str" cm="1">
        <f t="array" ref="Z17">_xlfn.IFS(G17&lt;30,"20-29",G17&lt;40,"30-39",G17&lt;50,"40-49",G17&gt;=50,"50+")</f>
        <v>20-29</v>
      </c>
      <c r="AA17" t="str" cm="1">
        <f t="array" ref="AA17">_xlfn.IFS(L17&lt;500000,"Band 1: &lt;5L", L17&lt;1000000,"Band 2: 5-10L", L17&lt;1500000,"Band 3: 10-15L", L17&lt;2000000,"Band 4: 15-20L", L17&gt;=2000000,"Band 5: 20L+")</f>
        <v>Band 3: 10-15L</v>
      </c>
      <c r="AB17" t="str" cm="1">
        <f t="array" ref="AB17">_xlfn.IFS(N17=1,"Poor", N17=2,"Below Average", N17=3,"Average", N17=4,"Good", N17=5,"Excellent")</f>
        <v>Good</v>
      </c>
      <c r="AC17" s="14">
        <f t="shared" si="5"/>
        <v>153721.82870000001</v>
      </c>
      <c r="AD17" t="str" cm="1">
        <f t="array" ref="AD17">_xlfn.IFS(K17&lt;2,"Junior (0-2 yrs)", K17&lt;5,"Mid-Level (2-5 yrs)", K17&lt;10,"Senior (5-10 yrs)", K17&gt;=10,"Expert (10+ yrs)")</f>
        <v>Expert (10+ yrs)</v>
      </c>
    </row>
    <row r="18" spans="1:30" x14ac:dyDescent="0.3">
      <c r="A18" s="1" t="s">
        <v>228</v>
      </c>
      <c r="B18" s="1" t="s">
        <v>229</v>
      </c>
      <c r="C18" s="1" t="s">
        <v>58</v>
      </c>
      <c r="D18" s="1" t="s">
        <v>231</v>
      </c>
      <c r="E18" s="1" t="s">
        <v>36</v>
      </c>
      <c r="F18" s="1" t="s">
        <v>37</v>
      </c>
      <c r="G18" s="1">
        <v>24</v>
      </c>
      <c r="H18" s="1" t="s">
        <v>26</v>
      </c>
      <c r="I18" s="1" t="s">
        <v>51</v>
      </c>
      <c r="J18" s="5">
        <v>40652</v>
      </c>
      <c r="K18" s="8">
        <v>29.9</v>
      </c>
      <c r="L18" s="11">
        <v>929458</v>
      </c>
      <c r="M18" s="12">
        <v>0.15179999999999999</v>
      </c>
      <c r="N18" s="7">
        <v>5</v>
      </c>
      <c r="O18" s="1" t="s">
        <v>76</v>
      </c>
      <c r="P18" s="1">
        <v>9314847294</v>
      </c>
      <c r="Q18" s="1" t="s">
        <v>2571</v>
      </c>
      <c r="R18" s="10">
        <v>66</v>
      </c>
      <c r="S18" s="10">
        <v>34</v>
      </c>
      <c r="T18" s="1" t="s">
        <v>235</v>
      </c>
      <c r="U18" t="str">
        <f t="shared" si="0"/>
        <v>Valid</v>
      </c>
      <c r="V18">
        <f t="shared" si="1"/>
        <v>4</v>
      </c>
      <c r="W18" t="str">
        <f t="shared" si="2"/>
        <v>Apr</v>
      </c>
      <c r="X18">
        <f t="shared" si="3"/>
        <v>2011</v>
      </c>
      <c r="Y18">
        <f t="shared" ca="1" si="4"/>
        <v>14</v>
      </c>
      <c r="Z18" t="str" cm="1">
        <f t="array" ref="Z18">_xlfn.IFS(G18&lt;30,"20-29",G18&lt;40,"30-39",G18&lt;50,"40-49",G18&gt;=50,"50+")</f>
        <v>20-29</v>
      </c>
      <c r="AA18" t="str" cm="1">
        <f t="array" ref="AA18">_xlfn.IFS(L18&lt;500000,"Band 1: &lt;5L", L18&lt;1000000,"Band 2: 5-10L", L18&lt;1500000,"Band 3: 10-15L", L18&lt;2000000,"Band 4: 15-20L", L18&gt;=2000000,"Band 5: 20L+")</f>
        <v>Band 2: 5-10L</v>
      </c>
      <c r="AB18" t="str" cm="1">
        <f t="array" ref="AB18">_xlfn.IFS(N18=1,"Poor", N18=2,"Below Average", N18=3,"Average", N18=4,"Good", N18=5,"Excellent")</f>
        <v>Excellent</v>
      </c>
      <c r="AC18" s="14">
        <f t="shared" si="5"/>
        <v>141091.72439999998</v>
      </c>
      <c r="AD18" t="str" cm="1">
        <f t="array" ref="AD18">_xlfn.IFS(K18&lt;2,"Junior (0-2 yrs)", K18&lt;5,"Mid-Level (2-5 yrs)", K18&lt;10,"Senior (5-10 yrs)", K18&gt;=10,"Expert (10+ yrs)")</f>
        <v>Expert (10+ yrs)</v>
      </c>
    </row>
    <row r="19" spans="1:30" x14ac:dyDescent="0.3">
      <c r="A19" s="1" t="s">
        <v>236</v>
      </c>
      <c r="B19" s="1" t="s">
        <v>237</v>
      </c>
      <c r="C19" s="1" t="s">
        <v>58</v>
      </c>
      <c r="D19" s="1" t="s">
        <v>23</v>
      </c>
      <c r="E19" s="1" t="s">
        <v>168</v>
      </c>
      <c r="F19" s="1" t="s">
        <v>37</v>
      </c>
      <c r="G19" s="1">
        <v>40</v>
      </c>
      <c r="H19" s="1" t="s">
        <v>62</v>
      </c>
      <c r="I19" s="1" t="s">
        <v>74</v>
      </c>
      <c r="J19" s="5">
        <v>45068</v>
      </c>
      <c r="K19" s="8">
        <v>27.9</v>
      </c>
      <c r="L19" s="11">
        <v>1982310</v>
      </c>
      <c r="M19" s="12">
        <v>3.6900000000000002E-2</v>
      </c>
      <c r="N19" s="7">
        <v>4</v>
      </c>
      <c r="O19" s="1" t="s">
        <v>41</v>
      </c>
      <c r="P19" s="1">
        <v>7158044711</v>
      </c>
      <c r="Q19" s="1" t="s">
        <v>2572</v>
      </c>
      <c r="R19" s="10">
        <v>16</v>
      </c>
      <c r="S19" s="10">
        <v>9</v>
      </c>
      <c r="T19" s="1" t="s">
        <v>241</v>
      </c>
      <c r="U19" t="str">
        <f t="shared" si="0"/>
        <v>Valid</v>
      </c>
      <c r="V19">
        <f t="shared" si="1"/>
        <v>5</v>
      </c>
      <c r="W19" t="str">
        <f t="shared" si="2"/>
        <v>May</v>
      </c>
      <c r="X19">
        <f t="shared" si="3"/>
        <v>2023</v>
      </c>
      <c r="Y19">
        <f t="shared" ca="1" si="4"/>
        <v>2</v>
      </c>
      <c r="Z19" t="str" cm="1">
        <f t="array" ref="Z19">_xlfn.IFS(G19&lt;30,"20-29",G19&lt;40,"30-39",G19&lt;50,"40-49",G19&gt;=50,"50+")</f>
        <v>40-49</v>
      </c>
      <c r="AA19" t="str" cm="1">
        <f t="array" ref="AA19">_xlfn.IFS(L19&lt;500000,"Band 1: &lt;5L", L19&lt;1000000,"Band 2: 5-10L", L19&lt;1500000,"Band 3: 10-15L", L19&lt;2000000,"Band 4: 15-20L", L19&gt;=2000000,"Band 5: 20L+")</f>
        <v>Band 4: 15-20L</v>
      </c>
      <c r="AB19" t="str" cm="1">
        <f t="array" ref="AB19">_xlfn.IFS(N19=1,"Poor", N19=2,"Below Average", N19=3,"Average", N19=4,"Good", N19=5,"Excellent")</f>
        <v>Good</v>
      </c>
      <c r="AC19" s="14">
        <f t="shared" si="5"/>
        <v>73147.239000000001</v>
      </c>
      <c r="AD19" t="str" cm="1">
        <f t="array" ref="AD19">_xlfn.IFS(K19&lt;2,"Junior (0-2 yrs)", K19&lt;5,"Mid-Level (2-5 yrs)", K19&lt;10,"Senior (5-10 yrs)", K19&gt;=10,"Expert (10+ yrs)")</f>
        <v>Expert (10+ yrs)</v>
      </c>
    </row>
    <row r="20" spans="1:30" x14ac:dyDescent="0.3">
      <c r="A20" s="1" t="s">
        <v>247</v>
      </c>
      <c r="B20" s="1" t="s">
        <v>248</v>
      </c>
      <c r="C20" s="1" t="s">
        <v>69</v>
      </c>
      <c r="D20" s="1" t="s">
        <v>244</v>
      </c>
      <c r="E20" s="1" t="s">
        <v>189</v>
      </c>
      <c r="F20" s="1" t="s">
        <v>37</v>
      </c>
      <c r="G20" s="1">
        <v>45</v>
      </c>
      <c r="H20" s="1" t="s">
        <v>62</v>
      </c>
      <c r="I20" s="1" t="s">
        <v>27</v>
      </c>
      <c r="J20" s="5">
        <v>42440</v>
      </c>
      <c r="K20" s="8">
        <v>19.100000000000001</v>
      </c>
      <c r="L20" s="11">
        <v>1872985</v>
      </c>
      <c r="M20" s="12">
        <v>1.3999999999999999E-2</v>
      </c>
      <c r="N20" s="7">
        <v>1</v>
      </c>
      <c r="O20" s="1" t="s">
        <v>41</v>
      </c>
      <c r="P20" s="1">
        <v>9429306031</v>
      </c>
      <c r="Q20" s="1" t="s">
        <v>2573</v>
      </c>
      <c r="R20" s="10">
        <v>16</v>
      </c>
      <c r="S20" s="10">
        <v>118</v>
      </c>
      <c r="T20" s="1" t="s">
        <v>252</v>
      </c>
      <c r="U20" t="str">
        <f t="shared" si="0"/>
        <v>Valid</v>
      </c>
      <c r="V20">
        <f t="shared" si="1"/>
        <v>3</v>
      </c>
      <c r="W20" t="str">
        <f t="shared" si="2"/>
        <v>Mar</v>
      </c>
      <c r="X20">
        <f t="shared" si="3"/>
        <v>2016</v>
      </c>
      <c r="Y20">
        <f t="shared" ca="1" si="4"/>
        <v>10</v>
      </c>
      <c r="Z20" t="str" cm="1">
        <f t="array" ref="Z20">_xlfn.IFS(G20&lt;30,"20-29",G20&lt;40,"30-39",G20&lt;50,"40-49",G20&gt;=50,"50+")</f>
        <v>40-49</v>
      </c>
      <c r="AA20" t="str" cm="1">
        <f t="array" ref="AA20">_xlfn.IFS(L20&lt;500000,"Band 1: &lt;5L", L20&lt;1000000,"Band 2: 5-10L", L20&lt;1500000,"Band 3: 10-15L", L20&lt;2000000,"Band 4: 15-20L", L20&gt;=2000000,"Band 5: 20L+")</f>
        <v>Band 4: 15-20L</v>
      </c>
      <c r="AB20" t="str" cm="1">
        <f t="array" ref="AB20">_xlfn.IFS(N20=1,"Poor", N20=2,"Below Average", N20=3,"Average", N20=4,"Good", N20=5,"Excellent")</f>
        <v>Poor</v>
      </c>
      <c r="AC20" s="14">
        <f t="shared" si="5"/>
        <v>26221.789999999997</v>
      </c>
      <c r="AD20" t="str" cm="1">
        <f t="array" ref="AD20">_xlfn.IFS(K20&lt;2,"Junior (0-2 yrs)", K20&lt;5,"Mid-Level (2-5 yrs)", K20&lt;10,"Senior (5-10 yrs)", K20&gt;=10,"Expert (10+ yrs)")</f>
        <v>Expert (10+ yrs)</v>
      </c>
    </row>
    <row r="21" spans="1:30" x14ac:dyDescent="0.3">
      <c r="A21" s="1" t="s">
        <v>253</v>
      </c>
      <c r="B21" s="1" t="s">
        <v>254</v>
      </c>
      <c r="C21" s="1" t="s">
        <v>69</v>
      </c>
      <c r="D21" s="1" t="s">
        <v>244</v>
      </c>
      <c r="E21" s="1" t="s">
        <v>155</v>
      </c>
      <c r="F21" s="1" t="s">
        <v>37</v>
      </c>
      <c r="G21" s="1">
        <v>49</v>
      </c>
      <c r="H21" s="1" t="s">
        <v>73</v>
      </c>
      <c r="I21" s="1" t="s">
        <v>27</v>
      </c>
      <c r="J21" s="5">
        <v>43934</v>
      </c>
      <c r="K21" s="8">
        <v>19.3</v>
      </c>
      <c r="L21" s="11">
        <v>2036208</v>
      </c>
      <c r="M21" s="12">
        <v>0.1452</v>
      </c>
      <c r="N21" s="7">
        <v>4</v>
      </c>
      <c r="O21" s="1" t="s">
        <v>41</v>
      </c>
      <c r="P21" s="1">
        <v>9286960285</v>
      </c>
      <c r="Q21" s="1" t="s">
        <v>2574</v>
      </c>
      <c r="R21" s="10">
        <v>73</v>
      </c>
      <c r="S21" s="10">
        <v>103</v>
      </c>
      <c r="T21" s="1" t="s">
        <v>43</v>
      </c>
      <c r="U21" t="str">
        <f t="shared" si="0"/>
        <v>Invalid</v>
      </c>
      <c r="V21">
        <f t="shared" si="1"/>
        <v>4</v>
      </c>
      <c r="W21" t="str">
        <f t="shared" si="2"/>
        <v>Apr</v>
      </c>
      <c r="X21">
        <f t="shared" si="3"/>
        <v>2020</v>
      </c>
      <c r="Y21">
        <f t="shared" ca="1" si="4"/>
        <v>5</v>
      </c>
      <c r="Z21" t="str" cm="1">
        <f t="array" ref="Z21">_xlfn.IFS(G21&lt;30,"20-29",G21&lt;40,"30-39",G21&lt;50,"40-49",G21&gt;=50,"50+")</f>
        <v>40-49</v>
      </c>
      <c r="AA21" t="str" cm="1">
        <f t="array" ref="AA21">_xlfn.IFS(L21&lt;500000,"Band 1: &lt;5L", L21&lt;1000000,"Band 2: 5-10L", L21&lt;1500000,"Band 3: 10-15L", L21&lt;2000000,"Band 4: 15-20L", L21&gt;=2000000,"Band 5: 20L+")</f>
        <v>Band 5: 20L+</v>
      </c>
      <c r="AB21" t="str" cm="1">
        <f t="array" ref="AB21">_xlfn.IFS(N21=1,"Poor", N21=2,"Below Average", N21=3,"Average", N21=4,"Good", N21=5,"Excellent")</f>
        <v>Good</v>
      </c>
      <c r="AC21" s="14">
        <f t="shared" si="5"/>
        <v>295657.40159999998</v>
      </c>
      <c r="AD21" t="str" cm="1">
        <f t="array" ref="AD21">_xlfn.IFS(K21&lt;2,"Junior (0-2 yrs)", K21&lt;5,"Mid-Level (2-5 yrs)", K21&lt;10,"Senior (5-10 yrs)", K21&gt;=10,"Expert (10+ yrs)")</f>
        <v>Expert (10+ yrs)</v>
      </c>
    </row>
    <row r="22" spans="1:30" x14ac:dyDescent="0.3">
      <c r="A22" s="1" t="s">
        <v>261</v>
      </c>
      <c r="B22" s="1" t="s">
        <v>262</v>
      </c>
      <c r="C22" s="1" t="s">
        <v>132</v>
      </c>
      <c r="D22" s="1" t="s">
        <v>244</v>
      </c>
      <c r="E22" s="1" t="s">
        <v>189</v>
      </c>
      <c r="F22" s="1" t="s">
        <v>93</v>
      </c>
      <c r="G22" s="1">
        <v>52</v>
      </c>
      <c r="H22" s="1" t="s">
        <v>73</v>
      </c>
      <c r="I22" s="1" t="s">
        <v>51</v>
      </c>
      <c r="J22" s="5">
        <v>44309</v>
      </c>
      <c r="K22" s="8">
        <v>16.100000000000001</v>
      </c>
      <c r="L22" s="11">
        <v>1941494</v>
      </c>
      <c r="M22" s="12">
        <v>0.17739999999999997</v>
      </c>
      <c r="N22" s="7">
        <v>3</v>
      </c>
      <c r="O22" s="1" t="s">
        <v>41</v>
      </c>
      <c r="P22" s="1">
        <v>9492728925</v>
      </c>
      <c r="Q22" s="1" t="s">
        <v>2575</v>
      </c>
      <c r="R22" s="10">
        <v>20</v>
      </c>
      <c r="S22" s="10">
        <v>56</v>
      </c>
      <c r="T22" s="1" t="s">
        <v>172</v>
      </c>
      <c r="U22" t="str">
        <f t="shared" si="0"/>
        <v>Invalid</v>
      </c>
      <c r="V22">
        <f t="shared" si="1"/>
        <v>4</v>
      </c>
      <c r="W22" t="str">
        <f t="shared" si="2"/>
        <v>Apr</v>
      </c>
      <c r="X22">
        <f t="shared" si="3"/>
        <v>2021</v>
      </c>
      <c r="Y22">
        <f t="shared" ca="1" si="4"/>
        <v>4</v>
      </c>
      <c r="Z22" t="str" cm="1">
        <f t="array" ref="Z22">_xlfn.IFS(G22&lt;30,"20-29",G22&lt;40,"30-39",G22&lt;50,"40-49",G22&gt;=50,"50+")</f>
        <v>50+</v>
      </c>
      <c r="AA22" t="str" cm="1">
        <f t="array" ref="AA22">_xlfn.IFS(L22&lt;500000,"Band 1: &lt;5L", L22&lt;1000000,"Band 2: 5-10L", L22&lt;1500000,"Band 3: 10-15L", L22&lt;2000000,"Band 4: 15-20L", L22&gt;=2000000,"Band 5: 20L+")</f>
        <v>Band 4: 15-20L</v>
      </c>
      <c r="AB22" t="str" cm="1">
        <f t="array" ref="AB22">_xlfn.IFS(N22=1,"Poor", N22=2,"Below Average", N22=3,"Average", N22=4,"Good", N22=5,"Excellent")</f>
        <v>Average</v>
      </c>
      <c r="AC22" s="14">
        <f t="shared" si="5"/>
        <v>344421.03559999994</v>
      </c>
      <c r="AD22" t="str" cm="1">
        <f t="array" ref="AD22">_xlfn.IFS(K22&lt;2,"Junior (0-2 yrs)", K22&lt;5,"Mid-Level (2-5 yrs)", K22&lt;10,"Senior (5-10 yrs)", K22&gt;=10,"Expert (10+ yrs)")</f>
        <v>Expert (10+ yrs)</v>
      </c>
    </row>
    <row r="23" spans="1:30" x14ac:dyDescent="0.3">
      <c r="A23" s="1" t="s">
        <v>266</v>
      </c>
      <c r="B23" s="1" t="s">
        <v>267</v>
      </c>
      <c r="C23" s="1" t="s">
        <v>69</v>
      </c>
      <c r="D23" s="1" t="s">
        <v>101</v>
      </c>
      <c r="E23" s="1" t="s">
        <v>71</v>
      </c>
      <c r="F23" s="1" t="s">
        <v>93</v>
      </c>
      <c r="G23" s="1">
        <v>48</v>
      </c>
      <c r="H23" s="1" t="s">
        <v>62</v>
      </c>
      <c r="I23" s="1" t="s">
        <v>74</v>
      </c>
      <c r="J23" s="5">
        <v>43682</v>
      </c>
      <c r="K23" s="8">
        <v>6.4</v>
      </c>
      <c r="L23" s="11">
        <v>932410</v>
      </c>
      <c r="M23" s="12">
        <v>1.4499999999999999E-2</v>
      </c>
      <c r="N23" s="7">
        <v>3</v>
      </c>
      <c r="O23" s="1" t="s">
        <v>41</v>
      </c>
      <c r="P23" s="1">
        <v>8428632583</v>
      </c>
      <c r="Q23" s="1" t="s">
        <v>2576</v>
      </c>
      <c r="R23" s="10">
        <v>26</v>
      </c>
      <c r="S23" s="10">
        <v>21</v>
      </c>
      <c r="T23" s="1" t="s">
        <v>271</v>
      </c>
      <c r="U23" t="str">
        <f t="shared" si="0"/>
        <v>Valid</v>
      </c>
      <c r="V23">
        <f t="shared" si="1"/>
        <v>8</v>
      </c>
      <c r="W23" t="str">
        <f t="shared" si="2"/>
        <v>Aug</v>
      </c>
      <c r="X23">
        <f t="shared" si="3"/>
        <v>2019</v>
      </c>
      <c r="Y23">
        <f t="shared" ca="1" si="4"/>
        <v>6</v>
      </c>
      <c r="Z23" t="str" cm="1">
        <f t="array" ref="Z23">_xlfn.IFS(G23&lt;30,"20-29",G23&lt;40,"30-39",G23&lt;50,"40-49",G23&gt;=50,"50+")</f>
        <v>40-49</v>
      </c>
      <c r="AA23" t="str" cm="1">
        <f t="array" ref="AA23">_xlfn.IFS(L23&lt;500000,"Band 1: &lt;5L", L23&lt;1000000,"Band 2: 5-10L", L23&lt;1500000,"Band 3: 10-15L", L23&lt;2000000,"Band 4: 15-20L", L23&gt;=2000000,"Band 5: 20L+")</f>
        <v>Band 2: 5-10L</v>
      </c>
      <c r="AB23" t="str" cm="1">
        <f t="array" ref="AB23">_xlfn.IFS(N23=1,"Poor", N23=2,"Below Average", N23=3,"Average", N23=4,"Good", N23=5,"Excellent")</f>
        <v>Average</v>
      </c>
      <c r="AC23" s="14">
        <f t="shared" si="5"/>
        <v>13519.945</v>
      </c>
      <c r="AD23" t="str" cm="1">
        <f t="array" ref="AD23">_xlfn.IFS(K23&lt;2,"Junior (0-2 yrs)", K23&lt;5,"Mid-Level (2-5 yrs)", K23&lt;10,"Senior (5-10 yrs)", K23&gt;=10,"Expert (10+ yrs)")</f>
        <v>Senior (5-10 yrs)</v>
      </c>
    </row>
    <row r="24" spans="1:30" x14ac:dyDescent="0.3">
      <c r="A24" s="1" t="s">
        <v>277</v>
      </c>
      <c r="B24" s="1" t="s">
        <v>278</v>
      </c>
      <c r="C24" s="1" t="s">
        <v>58</v>
      </c>
      <c r="D24" s="1" t="s">
        <v>83</v>
      </c>
      <c r="E24" s="1" t="s">
        <v>92</v>
      </c>
      <c r="F24" s="1" t="s">
        <v>93</v>
      </c>
      <c r="G24" s="1">
        <v>48</v>
      </c>
      <c r="H24" s="1" t="s">
        <v>142</v>
      </c>
      <c r="I24" s="1" t="s">
        <v>39</v>
      </c>
      <c r="J24" s="5">
        <v>43252</v>
      </c>
      <c r="K24" s="8">
        <v>25</v>
      </c>
      <c r="L24" s="11">
        <v>2339931</v>
      </c>
      <c r="M24" s="12">
        <v>1.6799999999999999E-2</v>
      </c>
      <c r="N24" s="7">
        <v>1</v>
      </c>
      <c r="O24" s="1" t="s">
        <v>41</v>
      </c>
      <c r="P24" s="1">
        <v>9314168714</v>
      </c>
      <c r="Q24" s="1" t="s">
        <v>2577</v>
      </c>
      <c r="R24" s="10">
        <v>11</v>
      </c>
      <c r="S24" s="10">
        <v>99</v>
      </c>
      <c r="T24" s="1" t="s">
        <v>166</v>
      </c>
      <c r="U24" t="str">
        <f t="shared" si="0"/>
        <v>Valid</v>
      </c>
      <c r="V24">
        <f t="shared" si="1"/>
        <v>6</v>
      </c>
      <c r="W24" t="str">
        <f t="shared" si="2"/>
        <v>Jun</v>
      </c>
      <c r="X24">
        <f t="shared" si="3"/>
        <v>2018</v>
      </c>
      <c r="Y24">
        <f t="shared" ca="1" si="4"/>
        <v>7</v>
      </c>
      <c r="Z24" t="str" cm="1">
        <f t="array" ref="Z24">_xlfn.IFS(G24&lt;30,"20-29",G24&lt;40,"30-39",G24&lt;50,"40-49",G24&gt;=50,"50+")</f>
        <v>40-49</v>
      </c>
      <c r="AA24" t="str" cm="1">
        <f t="array" ref="AA24">_xlfn.IFS(L24&lt;500000,"Band 1: &lt;5L", L24&lt;1000000,"Band 2: 5-10L", L24&lt;1500000,"Band 3: 10-15L", L24&lt;2000000,"Band 4: 15-20L", L24&gt;=2000000,"Band 5: 20L+")</f>
        <v>Band 5: 20L+</v>
      </c>
      <c r="AB24" t="str" cm="1">
        <f t="array" ref="AB24">_xlfn.IFS(N24=1,"Poor", N24=2,"Below Average", N24=3,"Average", N24=4,"Good", N24=5,"Excellent")</f>
        <v>Poor</v>
      </c>
      <c r="AC24" s="14">
        <f t="shared" si="5"/>
        <v>39310.840799999998</v>
      </c>
      <c r="AD24" t="str" cm="1">
        <f t="array" ref="AD24">_xlfn.IFS(K24&lt;2,"Junior (0-2 yrs)", K24&lt;5,"Mid-Level (2-5 yrs)", K24&lt;10,"Senior (5-10 yrs)", K24&gt;=10,"Expert (10+ yrs)")</f>
        <v>Expert (10+ yrs)</v>
      </c>
    </row>
    <row r="25" spans="1:30" x14ac:dyDescent="0.3">
      <c r="A25" s="1" t="s">
        <v>288</v>
      </c>
      <c r="B25" s="1" t="s">
        <v>289</v>
      </c>
      <c r="C25" s="1" t="s">
        <v>58</v>
      </c>
      <c r="D25" s="1" t="s">
        <v>23</v>
      </c>
      <c r="E25" s="1" t="s">
        <v>290</v>
      </c>
      <c r="F25" s="1" t="s">
        <v>37</v>
      </c>
      <c r="G25" s="1">
        <v>44</v>
      </c>
      <c r="H25" s="1" t="s">
        <v>38</v>
      </c>
      <c r="I25" s="1" t="s">
        <v>51</v>
      </c>
      <c r="J25" s="5">
        <v>43863</v>
      </c>
      <c r="K25" s="8">
        <v>2.1</v>
      </c>
      <c r="L25" s="11">
        <v>2258843</v>
      </c>
      <c r="M25" s="12">
        <v>0.10550000000000001</v>
      </c>
      <c r="N25" s="7">
        <v>3</v>
      </c>
      <c r="O25" s="1" t="s">
        <v>41</v>
      </c>
      <c r="P25" s="1">
        <v>8067970820</v>
      </c>
      <c r="Q25" s="1" t="s">
        <v>2578</v>
      </c>
      <c r="R25" s="10">
        <v>31</v>
      </c>
      <c r="S25" s="10">
        <v>9</v>
      </c>
      <c r="T25" s="1" t="s">
        <v>294</v>
      </c>
      <c r="U25" t="str">
        <f t="shared" si="0"/>
        <v>Valid</v>
      </c>
      <c r="V25">
        <f t="shared" si="1"/>
        <v>2</v>
      </c>
      <c r="W25" t="str">
        <f t="shared" si="2"/>
        <v>Feb</v>
      </c>
      <c r="X25">
        <f t="shared" si="3"/>
        <v>2020</v>
      </c>
      <c r="Y25">
        <f t="shared" ca="1" si="4"/>
        <v>6</v>
      </c>
      <c r="Z25" t="str" cm="1">
        <f t="array" ref="Z25">_xlfn.IFS(G25&lt;30,"20-29",G25&lt;40,"30-39",G25&lt;50,"40-49",G25&gt;=50,"50+")</f>
        <v>40-49</v>
      </c>
      <c r="AA25" t="str" cm="1">
        <f t="array" ref="AA25">_xlfn.IFS(L25&lt;500000,"Band 1: &lt;5L", L25&lt;1000000,"Band 2: 5-10L", L25&lt;1500000,"Band 3: 10-15L", L25&lt;2000000,"Band 4: 15-20L", L25&gt;=2000000,"Band 5: 20L+")</f>
        <v>Band 5: 20L+</v>
      </c>
      <c r="AB25" t="str" cm="1">
        <f t="array" ref="AB25">_xlfn.IFS(N25=1,"Poor", N25=2,"Below Average", N25=3,"Average", N25=4,"Good", N25=5,"Excellent")</f>
        <v>Average</v>
      </c>
      <c r="AC25" s="14">
        <f t="shared" si="5"/>
        <v>238307.93650000001</v>
      </c>
      <c r="AD25" t="str" cm="1">
        <f t="array" ref="AD25">_xlfn.IFS(K25&lt;2,"Junior (0-2 yrs)", K25&lt;5,"Mid-Level (2-5 yrs)", K25&lt;10,"Senior (5-10 yrs)", K25&gt;=10,"Expert (10+ yrs)")</f>
        <v>Mid-Level (2-5 yrs)</v>
      </c>
    </row>
    <row r="26" spans="1:30" x14ac:dyDescent="0.3">
      <c r="A26" s="1" t="s">
        <v>299</v>
      </c>
      <c r="B26" s="1" t="s">
        <v>300</v>
      </c>
      <c r="C26" s="1" t="s">
        <v>46</v>
      </c>
      <c r="D26" s="1" t="s">
        <v>231</v>
      </c>
      <c r="E26" s="1" t="s">
        <v>36</v>
      </c>
      <c r="F26" s="1" t="s">
        <v>37</v>
      </c>
      <c r="G26" s="1">
        <v>34</v>
      </c>
      <c r="H26" s="1" t="s">
        <v>204</v>
      </c>
      <c r="I26" s="1" t="s">
        <v>74</v>
      </c>
      <c r="J26" s="5">
        <v>40253</v>
      </c>
      <c r="K26" s="8">
        <v>23.7</v>
      </c>
      <c r="L26" s="11">
        <v>2481266</v>
      </c>
      <c r="M26" s="12">
        <v>0.12050000000000001</v>
      </c>
      <c r="N26" s="7">
        <v>5</v>
      </c>
      <c r="O26" s="1" t="s">
        <v>76</v>
      </c>
      <c r="P26" s="1">
        <v>9004903816</v>
      </c>
      <c r="Q26" s="1" t="s">
        <v>2579</v>
      </c>
      <c r="R26" s="10">
        <v>31</v>
      </c>
      <c r="S26" s="10">
        <v>96</v>
      </c>
      <c r="T26" s="1" t="s">
        <v>194</v>
      </c>
      <c r="U26" t="str">
        <f t="shared" si="0"/>
        <v>Valid</v>
      </c>
      <c r="V26">
        <f t="shared" si="1"/>
        <v>3</v>
      </c>
      <c r="W26" t="str">
        <f t="shared" si="2"/>
        <v>Mar</v>
      </c>
      <c r="X26">
        <f t="shared" si="3"/>
        <v>2010</v>
      </c>
      <c r="Y26">
        <f t="shared" ca="1" si="4"/>
        <v>16</v>
      </c>
      <c r="Z26" t="str" cm="1">
        <f t="array" ref="Z26">_xlfn.IFS(G26&lt;30,"20-29",G26&lt;40,"30-39",G26&lt;50,"40-49",G26&gt;=50,"50+")</f>
        <v>30-39</v>
      </c>
      <c r="AA26" t="str" cm="1">
        <f t="array" ref="AA26">_xlfn.IFS(L26&lt;500000,"Band 1: &lt;5L", L26&lt;1000000,"Band 2: 5-10L", L26&lt;1500000,"Band 3: 10-15L", L26&lt;2000000,"Band 4: 15-20L", L26&gt;=2000000,"Band 5: 20L+")</f>
        <v>Band 5: 20L+</v>
      </c>
      <c r="AB26" t="str" cm="1">
        <f t="array" ref="AB26">_xlfn.IFS(N26=1,"Poor", N26=2,"Below Average", N26=3,"Average", N26=4,"Good", N26=5,"Excellent")</f>
        <v>Excellent</v>
      </c>
      <c r="AC26" s="14">
        <f t="shared" si="5"/>
        <v>298992.55300000001</v>
      </c>
      <c r="AD26" t="str" cm="1">
        <f t="array" ref="AD26">_xlfn.IFS(K26&lt;2,"Junior (0-2 yrs)", K26&lt;5,"Mid-Level (2-5 yrs)", K26&lt;10,"Senior (5-10 yrs)", K26&gt;=10,"Expert (10+ yrs)")</f>
        <v>Expert (10+ yrs)</v>
      </c>
    </row>
    <row r="27" spans="1:30" x14ac:dyDescent="0.3">
      <c r="A27" s="1" t="s">
        <v>304</v>
      </c>
      <c r="B27" s="1" t="s">
        <v>305</v>
      </c>
      <c r="C27" s="1" t="s">
        <v>46</v>
      </c>
      <c r="D27" s="1" t="s">
        <v>231</v>
      </c>
      <c r="E27" s="1" t="s">
        <v>71</v>
      </c>
      <c r="F27" s="1" t="s">
        <v>37</v>
      </c>
      <c r="G27" s="1">
        <v>47</v>
      </c>
      <c r="H27" s="1" t="s">
        <v>38</v>
      </c>
      <c r="I27" s="1" t="s">
        <v>39</v>
      </c>
      <c r="J27" s="5">
        <v>42105</v>
      </c>
      <c r="K27" s="8">
        <v>26.8</v>
      </c>
      <c r="L27" s="11">
        <v>726653</v>
      </c>
      <c r="M27" s="12">
        <v>0.1484</v>
      </c>
      <c r="N27" s="7">
        <v>3</v>
      </c>
      <c r="O27" s="1" t="s">
        <v>76</v>
      </c>
      <c r="P27" s="1">
        <v>9143661603</v>
      </c>
      <c r="Q27" s="1" t="s">
        <v>2580</v>
      </c>
      <c r="R27" s="10">
        <v>51</v>
      </c>
      <c r="S27" s="10">
        <v>85</v>
      </c>
      <c r="T27" s="1" t="s">
        <v>309</v>
      </c>
      <c r="U27" t="str">
        <f t="shared" si="0"/>
        <v>Valid</v>
      </c>
      <c r="V27">
        <f t="shared" si="1"/>
        <v>4</v>
      </c>
      <c r="W27" t="str">
        <f t="shared" si="2"/>
        <v>Apr</v>
      </c>
      <c r="X27">
        <f t="shared" si="3"/>
        <v>2015</v>
      </c>
      <c r="Y27">
        <f t="shared" ca="1" si="4"/>
        <v>10</v>
      </c>
      <c r="Z27" t="str" cm="1">
        <f t="array" ref="Z27">_xlfn.IFS(G27&lt;30,"20-29",G27&lt;40,"30-39",G27&lt;50,"40-49",G27&gt;=50,"50+")</f>
        <v>40-49</v>
      </c>
      <c r="AA27" t="str" cm="1">
        <f t="array" ref="AA27">_xlfn.IFS(L27&lt;500000,"Band 1: &lt;5L", L27&lt;1000000,"Band 2: 5-10L", L27&lt;1500000,"Band 3: 10-15L", L27&lt;2000000,"Band 4: 15-20L", L27&gt;=2000000,"Band 5: 20L+")</f>
        <v>Band 2: 5-10L</v>
      </c>
      <c r="AB27" t="str" cm="1">
        <f t="array" ref="AB27">_xlfn.IFS(N27=1,"Poor", N27=2,"Below Average", N27=3,"Average", N27=4,"Good", N27=5,"Excellent")</f>
        <v>Average</v>
      </c>
      <c r="AC27" s="14">
        <f t="shared" si="5"/>
        <v>107835.3052</v>
      </c>
      <c r="AD27" t="str" cm="1">
        <f t="array" ref="AD27">_xlfn.IFS(K27&lt;2,"Junior (0-2 yrs)", K27&lt;5,"Mid-Level (2-5 yrs)", K27&lt;10,"Senior (5-10 yrs)", K27&gt;=10,"Expert (10+ yrs)")</f>
        <v>Expert (10+ yrs)</v>
      </c>
    </row>
    <row r="28" spans="1:30" x14ac:dyDescent="0.3">
      <c r="A28" s="1" t="s">
        <v>315</v>
      </c>
      <c r="B28" s="1" t="s">
        <v>316</v>
      </c>
      <c r="C28" s="1" t="s">
        <v>46</v>
      </c>
      <c r="D28" s="1" t="s">
        <v>244</v>
      </c>
      <c r="E28" s="1" t="s">
        <v>24</v>
      </c>
      <c r="F28" s="1" t="s">
        <v>37</v>
      </c>
      <c r="G28" s="1">
        <v>33</v>
      </c>
      <c r="H28" s="1" t="s">
        <v>142</v>
      </c>
      <c r="I28" s="1" t="s">
        <v>39</v>
      </c>
      <c r="J28" s="5">
        <v>42219</v>
      </c>
      <c r="K28" s="8">
        <v>23.8</v>
      </c>
      <c r="L28" s="11">
        <v>384336</v>
      </c>
      <c r="M28" s="12">
        <v>4.4500000000000005E-2</v>
      </c>
      <c r="N28" s="7">
        <v>4</v>
      </c>
      <c r="O28" s="1" t="s">
        <v>41</v>
      </c>
      <c r="P28" s="1">
        <v>7570091680</v>
      </c>
      <c r="Q28" s="1" t="s">
        <v>2581</v>
      </c>
      <c r="R28" s="10">
        <v>40</v>
      </c>
      <c r="S28" s="10">
        <v>106</v>
      </c>
      <c r="T28" s="1" t="s">
        <v>235</v>
      </c>
      <c r="U28" t="str">
        <f t="shared" si="0"/>
        <v>Valid</v>
      </c>
      <c r="V28">
        <f t="shared" si="1"/>
        <v>8</v>
      </c>
      <c r="W28" t="str">
        <f t="shared" si="2"/>
        <v>Aug</v>
      </c>
      <c r="X28">
        <f t="shared" si="3"/>
        <v>2015</v>
      </c>
      <c r="Y28">
        <f t="shared" ca="1" si="4"/>
        <v>10</v>
      </c>
      <c r="Z28" t="str" cm="1">
        <f t="array" ref="Z28">_xlfn.IFS(G28&lt;30,"20-29",G28&lt;40,"30-39",G28&lt;50,"40-49",G28&gt;=50,"50+")</f>
        <v>30-39</v>
      </c>
      <c r="AA28" t="str" cm="1">
        <f t="array" ref="AA28">_xlfn.IFS(L28&lt;500000,"Band 1: &lt;5L", L28&lt;1000000,"Band 2: 5-10L", L28&lt;1500000,"Band 3: 10-15L", L28&lt;2000000,"Band 4: 15-20L", L28&gt;=2000000,"Band 5: 20L+")</f>
        <v>Band 1: &lt;5L</v>
      </c>
      <c r="AB28" t="str" cm="1">
        <f t="array" ref="AB28">_xlfn.IFS(N28=1,"Poor", N28=2,"Below Average", N28=3,"Average", N28=4,"Good", N28=5,"Excellent")</f>
        <v>Good</v>
      </c>
      <c r="AC28" s="14">
        <f t="shared" si="5"/>
        <v>17102.952000000001</v>
      </c>
      <c r="AD28" t="str" cm="1">
        <f t="array" ref="AD28">_xlfn.IFS(K28&lt;2,"Junior (0-2 yrs)", K28&lt;5,"Mid-Level (2-5 yrs)", K28&lt;10,"Senior (5-10 yrs)", K28&gt;=10,"Expert (10+ yrs)")</f>
        <v>Expert (10+ yrs)</v>
      </c>
    </row>
    <row r="29" spans="1:30" x14ac:dyDescent="0.3">
      <c r="A29" s="1" t="s">
        <v>320</v>
      </c>
      <c r="B29" s="1" t="s">
        <v>321</v>
      </c>
      <c r="C29" s="1" t="s">
        <v>69</v>
      </c>
      <c r="D29" s="1" t="s">
        <v>231</v>
      </c>
      <c r="E29" s="1" t="s">
        <v>71</v>
      </c>
      <c r="F29" s="1" t="s">
        <v>93</v>
      </c>
      <c r="G29" s="1">
        <v>44</v>
      </c>
      <c r="H29" s="1" t="s">
        <v>103</v>
      </c>
      <c r="I29" s="1" t="s">
        <v>74</v>
      </c>
      <c r="J29" s="5">
        <v>44921</v>
      </c>
      <c r="K29" s="8">
        <v>20</v>
      </c>
      <c r="L29" s="11">
        <v>1437047</v>
      </c>
      <c r="M29" s="12">
        <v>0.18030000000000002</v>
      </c>
      <c r="N29" s="7">
        <v>1</v>
      </c>
      <c r="O29" s="1" t="s">
        <v>41</v>
      </c>
      <c r="P29" s="1">
        <v>9816872014</v>
      </c>
      <c r="Q29" s="1" t="s">
        <v>2582</v>
      </c>
      <c r="R29" s="10">
        <v>61</v>
      </c>
      <c r="S29" s="10">
        <v>14</v>
      </c>
      <c r="T29" s="1" t="s">
        <v>271</v>
      </c>
      <c r="U29" t="str">
        <f t="shared" si="0"/>
        <v>Valid</v>
      </c>
      <c r="V29">
        <f t="shared" si="1"/>
        <v>12</v>
      </c>
      <c r="W29" t="str">
        <f t="shared" si="2"/>
        <v>Dec</v>
      </c>
      <c r="X29">
        <f t="shared" si="3"/>
        <v>2022</v>
      </c>
      <c r="Y29">
        <f t="shared" ca="1" si="4"/>
        <v>3</v>
      </c>
      <c r="Z29" t="str" cm="1">
        <f t="array" ref="Z29">_xlfn.IFS(G29&lt;30,"20-29",G29&lt;40,"30-39",G29&lt;50,"40-49",G29&gt;=50,"50+")</f>
        <v>40-49</v>
      </c>
      <c r="AA29" t="str" cm="1">
        <f t="array" ref="AA29">_xlfn.IFS(L29&lt;500000,"Band 1: &lt;5L", L29&lt;1000000,"Band 2: 5-10L", L29&lt;1500000,"Band 3: 10-15L", L29&lt;2000000,"Band 4: 15-20L", L29&gt;=2000000,"Band 5: 20L+")</f>
        <v>Band 3: 10-15L</v>
      </c>
      <c r="AB29" t="str" cm="1">
        <f t="array" ref="AB29">_xlfn.IFS(N29=1,"Poor", N29=2,"Below Average", N29=3,"Average", N29=4,"Good", N29=5,"Excellent")</f>
        <v>Poor</v>
      </c>
      <c r="AC29" s="14">
        <f t="shared" si="5"/>
        <v>259099.57410000003</v>
      </c>
      <c r="AD29" t="str" cm="1">
        <f t="array" ref="AD29">_xlfn.IFS(K29&lt;2,"Junior (0-2 yrs)", K29&lt;5,"Mid-Level (2-5 yrs)", K29&lt;10,"Senior (5-10 yrs)", K29&gt;=10,"Expert (10+ yrs)")</f>
        <v>Expert (10+ yrs)</v>
      </c>
    </row>
    <row r="30" spans="1:30" x14ac:dyDescent="0.3">
      <c r="A30" s="1" t="s">
        <v>325</v>
      </c>
      <c r="B30" s="1" t="s">
        <v>326</v>
      </c>
      <c r="C30" s="1" t="s">
        <v>58</v>
      </c>
      <c r="D30" s="1" t="s">
        <v>23</v>
      </c>
      <c r="E30" s="1" t="s">
        <v>92</v>
      </c>
      <c r="F30" s="1" t="s">
        <v>37</v>
      </c>
      <c r="G30" s="1">
        <v>23</v>
      </c>
      <c r="H30" s="1" t="s">
        <v>73</v>
      </c>
      <c r="I30" s="1" t="s">
        <v>51</v>
      </c>
      <c r="J30" s="5">
        <v>40809</v>
      </c>
      <c r="K30" s="8">
        <v>29.3</v>
      </c>
      <c r="L30" s="11">
        <v>829439</v>
      </c>
      <c r="M30" s="12">
        <v>0.2429</v>
      </c>
      <c r="N30" s="7">
        <v>3</v>
      </c>
      <c r="O30" s="1" t="s">
        <v>76</v>
      </c>
      <c r="P30" s="1">
        <v>9376399126</v>
      </c>
      <c r="Q30" s="1" t="s">
        <v>2583</v>
      </c>
      <c r="R30" s="10">
        <v>65</v>
      </c>
      <c r="S30" s="10">
        <v>107</v>
      </c>
      <c r="T30" s="1" t="s">
        <v>107</v>
      </c>
      <c r="U30" t="str">
        <f t="shared" si="0"/>
        <v>Invalid</v>
      </c>
      <c r="V30">
        <f t="shared" si="1"/>
        <v>9</v>
      </c>
      <c r="W30" t="str">
        <f t="shared" si="2"/>
        <v>Sep</v>
      </c>
      <c r="X30">
        <f t="shared" si="3"/>
        <v>2011</v>
      </c>
      <c r="Y30">
        <f t="shared" ca="1" si="4"/>
        <v>14</v>
      </c>
      <c r="Z30" t="str" cm="1">
        <f t="array" ref="Z30">_xlfn.IFS(G30&lt;30,"20-29",G30&lt;40,"30-39",G30&lt;50,"40-49",G30&gt;=50,"50+")</f>
        <v>20-29</v>
      </c>
      <c r="AA30" t="str" cm="1">
        <f t="array" ref="AA30">_xlfn.IFS(L30&lt;500000,"Band 1: &lt;5L", L30&lt;1000000,"Band 2: 5-10L", L30&lt;1500000,"Band 3: 10-15L", L30&lt;2000000,"Band 4: 15-20L", L30&gt;=2000000,"Band 5: 20L+")</f>
        <v>Band 2: 5-10L</v>
      </c>
      <c r="AB30" t="str" cm="1">
        <f t="array" ref="AB30">_xlfn.IFS(N30=1,"Poor", N30=2,"Below Average", N30=3,"Average", N30=4,"Good", N30=5,"Excellent")</f>
        <v>Average</v>
      </c>
      <c r="AC30" s="14">
        <f t="shared" si="5"/>
        <v>201470.73310000001</v>
      </c>
      <c r="AD30" t="str" cm="1">
        <f t="array" ref="AD30">_xlfn.IFS(K30&lt;2,"Junior (0-2 yrs)", K30&lt;5,"Mid-Level (2-5 yrs)", K30&lt;10,"Senior (5-10 yrs)", K30&gt;=10,"Expert (10+ yrs)")</f>
        <v>Expert (10+ yrs)</v>
      </c>
    </row>
    <row r="31" spans="1:30" x14ac:dyDescent="0.3">
      <c r="A31" s="1" t="s">
        <v>309</v>
      </c>
      <c r="B31" s="1" t="s">
        <v>331</v>
      </c>
      <c r="C31" s="1" t="s">
        <v>197</v>
      </c>
      <c r="D31" s="1" t="s">
        <v>244</v>
      </c>
      <c r="E31" s="1" t="s">
        <v>24</v>
      </c>
      <c r="F31" s="1" t="s">
        <v>93</v>
      </c>
      <c r="G31" s="1">
        <v>43</v>
      </c>
      <c r="H31" s="1" t="s">
        <v>26</v>
      </c>
      <c r="I31" s="1" t="s">
        <v>39</v>
      </c>
      <c r="J31" s="5">
        <v>44789</v>
      </c>
      <c r="K31" s="8">
        <v>10.1</v>
      </c>
      <c r="L31" s="11">
        <v>1963893</v>
      </c>
      <c r="M31" s="12">
        <v>0.193</v>
      </c>
      <c r="N31" s="7">
        <v>4</v>
      </c>
      <c r="O31" s="1" t="s">
        <v>76</v>
      </c>
      <c r="P31" s="1">
        <v>7797737957</v>
      </c>
      <c r="Q31" s="1" t="s">
        <v>2584</v>
      </c>
      <c r="R31" s="10">
        <v>31</v>
      </c>
      <c r="S31" s="10">
        <v>10</v>
      </c>
      <c r="T31" s="1" t="s">
        <v>335</v>
      </c>
      <c r="U31" t="str">
        <f t="shared" si="0"/>
        <v>Invalid</v>
      </c>
      <c r="V31">
        <f t="shared" si="1"/>
        <v>8</v>
      </c>
      <c r="W31" t="str">
        <f t="shared" si="2"/>
        <v>Aug</v>
      </c>
      <c r="X31">
        <f t="shared" si="3"/>
        <v>2022</v>
      </c>
      <c r="Y31">
        <f t="shared" ca="1" si="4"/>
        <v>3</v>
      </c>
      <c r="Z31" t="str" cm="1">
        <f t="array" ref="Z31">_xlfn.IFS(G31&lt;30,"20-29",G31&lt;40,"30-39",G31&lt;50,"40-49",G31&gt;=50,"50+")</f>
        <v>40-49</v>
      </c>
      <c r="AA31" t="str" cm="1">
        <f t="array" ref="AA31">_xlfn.IFS(L31&lt;500000,"Band 1: &lt;5L", L31&lt;1000000,"Band 2: 5-10L", L31&lt;1500000,"Band 3: 10-15L", L31&lt;2000000,"Band 4: 15-20L", L31&gt;=2000000,"Band 5: 20L+")</f>
        <v>Band 4: 15-20L</v>
      </c>
      <c r="AB31" t="str" cm="1">
        <f t="array" ref="AB31">_xlfn.IFS(N31=1,"Poor", N31=2,"Below Average", N31=3,"Average", N31=4,"Good", N31=5,"Excellent")</f>
        <v>Good</v>
      </c>
      <c r="AC31" s="14">
        <f t="shared" si="5"/>
        <v>379031.34899999999</v>
      </c>
      <c r="AD31" t="str" cm="1">
        <f t="array" ref="AD31">_xlfn.IFS(K31&lt;2,"Junior (0-2 yrs)", K31&lt;5,"Mid-Level (2-5 yrs)", K31&lt;10,"Senior (5-10 yrs)", K31&gt;=10,"Expert (10+ yrs)")</f>
        <v>Expert (10+ yrs)</v>
      </c>
    </row>
    <row r="32" spans="1:30" x14ac:dyDescent="0.3">
      <c r="A32" s="1" t="s">
        <v>336</v>
      </c>
      <c r="B32" s="1" t="s">
        <v>337</v>
      </c>
      <c r="C32" s="1" t="s">
        <v>69</v>
      </c>
      <c r="D32" s="1" t="s">
        <v>23</v>
      </c>
      <c r="E32" s="1" t="s">
        <v>102</v>
      </c>
      <c r="F32" s="1" t="s">
        <v>93</v>
      </c>
      <c r="G32" s="1">
        <v>36</v>
      </c>
      <c r="H32" s="1" t="s">
        <v>103</v>
      </c>
      <c r="I32" s="1" t="s">
        <v>39</v>
      </c>
      <c r="J32" s="5">
        <v>45501</v>
      </c>
      <c r="K32" s="8">
        <v>21.4</v>
      </c>
      <c r="L32" s="11">
        <v>1581190</v>
      </c>
      <c r="M32" s="12">
        <v>2.5600000000000001E-2</v>
      </c>
      <c r="N32" s="7">
        <v>5</v>
      </c>
      <c r="O32" s="1" t="s">
        <v>41</v>
      </c>
      <c r="P32" s="1">
        <v>9908535332</v>
      </c>
      <c r="Q32" s="1" t="s">
        <v>2585</v>
      </c>
      <c r="R32" s="10">
        <v>47</v>
      </c>
      <c r="S32" s="10">
        <v>76</v>
      </c>
      <c r="T32" s="1" t="s">
        <v>309</v>
      </c>
      <c r="U32" t="str">
        <f t="shared" si="0"/>
        <v>Valid</v>
      </c>
      <c r="V32">
        <f t="shared" si="1"/>
        <v>7</v>
      </c>
      <c r="W32" t="str">
        <f t="shared" si="2"/>
        <v>Jul</v>
      </c>
      <c r="X32">
        <f t="shared" si="3"/>
        <v>2024</v>
      </c>
      <c r="Y32">
        <f t="shared" ca="1" si="4"/>
        <v>1</v>
      </c>
      <c r="Z32" t="str" cm="1">
        <f t="array" ref="Z32">_xlfn.IFS(G32&lt;30,"20-29",G32&lt;40,"30-39",G32&lt;50,"40-49",G32&gt;=50,"50+")</f>
        <v>30-39</v>
      </c>
      <c r="AA32" t="str" cm="1">
        <f t="array" ref="AA32">_xlfn.IFS(L32&lt;500000,"Band 1: &lt;5L", L32&lt;1000000,"Band 2: 5-10L", L32&lt;1500000,"Band 3: 10-15L", L32&lt;2000000,"Band 4: 15-20L", L32&gt;=2000000,"Band 5: 20L+")</f>
        <v>Band 4: 15-20L</v>
      </c>
      <c r="AB32" t="str" cm="1">
        <f t="array" ref="AB32">_xlfn.IFS(N32=1,"Poor", N32=2,"Below Average", N32=3,"Average", N32=4,"Good", N32=5,"Excellent")</f>
        <v>Excellent</v>
      </c>
      <c r="AC32" s="14">
        <f t="shared" si="5"/>
        <v>40478.464</v>
      </c>
      <c r="AD32" t="str" cm="1">
        <f t="array" ref="AD32">_xlfn.IFS(K32&lt;2,"Junior (0-2 yrs)", K32&lt;5,"Mid-Level (2-5 yrs)", K32&lt;10,"Senior (5-10 yrs)", K32&gt;=10,"Expert (10+ yrs)")</f>
        <v>Expert (10+ yrs)</v>
      </c>
    </row>
    <row r="33" spans="1:30" x14ac:dyDescent="0.3">
      <c r="A33" s="1" t="s">
        <v>344</v>
      </c>
      <c r="B33" s="1" t="s">
        <v>345</v>
      </c>
      <c r="C33" s="1" t="s">
        <v>132</v>
      </c>
      <c r="D33" s="1" t="s">
        <v>23</v>
      </c>
      <c r="E33" s="1" t="s">
        <v>102</v>
      </c>
      <c r="F33" s="1" t="s">
        <v>37</v>
      </c>
      <c r="G33" s="1">
        <v>50</v>
      </c>
      <c r="H33" s="1" t="s">
        <v>62</v>
      </c>
      <c r="I33" s="1" t="s">
        <v>39</v>
      </c>
      <c r="J33" s="5">
        <v>43305</v>
      </c>
      <c r="K33" s="8">
        <v>13.9</v>
      </c>
      <c r="L33" s="11">
        <v>1404566</v>
      </c>
      <c r="M33" s="12">
        <v>0.24179999999999999</v>
      </c>
      <c r="N33" s="7">
        <v>1</v>
      </c>
      <c r="O33" s="1" t="s">
        <v>41</v>
      </c>
      <c r="P33" s="1">
        <v>9663727197</v>
      </c>
      <c r="Q33" s="1" t="s">
        <v>2523</v>
      </c>
      <c r="R33" s="10">
        <v>24</v>
      </c>
      <c r="S33" s="10">
        <v>63</v>
      </c>
      <c r="T33" s="1" t="s">
        <v>213</v>
      </c>
      <c r="U33" t="str">
        <f t="shared" si="0"/>
        <v>Invalid</v>
      </c>
      <c r="V33">
        <f t="shared" si="1"/>
        <v>7</v>
      </c>
      <c r="W33" t="str">
        <f t="shared" si="2"/>
        <v>Jul</v>
      </c>
      <c r="X33">
        <f t="shared" si="3"/>
        <v>2018</v>
      </c>
      <c r="Y33">
        <f t="shared" ca="1" si="4"/>
        <v>7</v>
      </c>
      <c r="Z33" t="str" cm="1">
        <f t="array" ref="Z33">_xlfn.IFS(G33&lt;30,"20-29",G33&lt;40,"30-39",G33&lt;50,"40-49",G33&gt;=50,"50+")</f>
        <v>50+</v>
      </c>
      <c r="AA33" t="str" cm="1">
        <f t="array" ref="AA33">_xlfn.IFS(L33&lt;500000,"Band 1: &lt;5L", L33&lt;1000000,"Band 2: 5-10L", L33&lt;1500000,"Band 3: 10-15L", L33&lt;2000000,"Band 4: 15-20L", L33&gt;=2000000,"Band 5: 20L+")</f>
        <v>Band 3: 10-15L</v>
      </c>
      <c r="AB33" t="str" cm="1">
        <f t="array" ref="AB33">_xlfn.IFS(N33=1,"Poor", N33=2,"Below Average", N33=3,"Average", N33=4,"Good", N33=5,"Excellent")</f>
        <v>Poor</v>
      </c>
      <c r="AC33" s="14">
        <f t="shared" si="5"/>
        <v>339624.0588</v>
      </c>
      <c r="AD33" t="str" cm="1">
        <f t="array" ref="AD33">_xlfn.IFS(K33&lt;2,"Junior (0-2 yrs)", K33&lt;5,"Mid-Level (2-5 yrs)", K33&lt;10,"Senior (5-10 yrs)", K33&gt;=10,"Expert (10+ yrs)")</f>
        <v>Expert (10+ yrs)</v>
      </c>
    </row>
    <row r="34" spans="1:30" x14ac:dyDescent="0.3">
      <c r="A34" s="1" t="s">
        <v>349</v>
      </c>
      <c r="B34" s="1" t="s">
        <v>350</v>
      </c>
      <c r="C34" s="1" t="s">
        <v>58</v>
      </c>
      <c r="D34" s="1" t="s">
        <v>83</v>
      </c>
      <c r="E34" s="1" t="s">
        <v>48</v>
      </c>
      <c r="F34" s="1" t="s">
        <v>93</v>
      </c>
      <c r="G34" s="1">
        <v>47</v>
      </c>
      <c r="H34" s="1" t="s">
        <v>62</v>
      </c>
      <c r="I34" s="1" t="s">
        <v>39</v>
      </c>
      <c r="J34" s="5">
        <v>43325</v>
      </c>
      <c r="K34" s="8">
        <v>19.7</v>
      </c>
      <c r="L34" s="11">
        <v>748712</v>
      </c>
      <c r="M34" s="12">
        <v>5.21E-2</v>
      </c>
      <c r="N34" s="7">
        <v>4</v>
      </c>
      <c r="O34" s="1" t="s">
        <v>76</v>
      </c>
      <c r="P34" s="1">
        <v>7682986933</v>
      </c>
      <c r="Q34" s="1" t="s">
        <v>2586</v>
      </c>
      <c r="R34" s="10">
        <v>55</v>
      </c>
      <c r="S34" s="10">
        <v>55</v>
      </c>
      <c r="T34" s="1" t="s">
        <v>354</v>
      </c>
      <c r="U34" t="str">
        <f t="shared" si="0"/>
        <v>Valid</v>
      </c>
      <c r="V34">
        <f t="shared" si="1"/>
        <v>8</v>
      </c>
      <c r="W34" t="str">
        <f t="shared" si="2"/>
        <v>Aug</v>
      </c>
      <c r="X34">
        <f t="shared" si="3"/>
        <v>2018</v>
      </c>
      <c r="Y34">
        <f t="shared" ca="1" si="4"/>
        <v>7</v>
      </c>
      <c r="Z34" t="str" cm="1">
        <f t="array" ref="Z34">_xlfn.IFS(G34&lt;30,"20-29",G34&lt;40,"30-39",G34&lt;50,"40-49",G34&gt;=50,"50+")</f>
        <v>40-49</v>
      </c>
      <c r="AA34" t="str" cm="1">
        <f t="array" ref="AA34">_xlfn.IFS(L34&lt;500000,"Band 1: &lt;5L", L34&lt;1000000,"Band 2: 5-10L", L34&lt;1500000,"Band 3: 10-15L", L34&lt;2000000,"Band 4: 15-20L", L34&gt;=2000000,"Band 5: 20L+")</f>
        <v>Band 2: 5-10L</v>
      </c>
      <c r="AB34" t="str" cm="1">
        <f t="array" ref="AB34">_xlfn.IFS(N34=1,"Poor", N34=2,"Below Average", N34=3,"Average", N34=4,"Good", N34=5,"Excellent")</f>
        <v>Good</v>
      </c>
      <c r="AC34" s="14">
        <f t="shared" si="5"/>
        <v>39007.895199999999</v>
      </c>
      <c r="AD34" t="str" cm="1">
        <f t="array" ref="AD34">_xlfn.IFS(K34&lt;2,"Junior (0-2 yrs)", K34&lt;5,"Mid-Level (2-5 yrs)", K34&lt;10,"Senior (5-10 yrs)", K34&gt;=10,"Expert (10+ yrs)")</f>
        <v>Expert (10+ yrs)</v>
      </c>
    </row>
    <row r="35" spans="1:30" x14ac:dyDescent="0.3">
      <c r="A35" s="1" t="s">
        <v>355</v>
      </c>
      <c r="B35" s="1" t="s">
        <v>356</v>
      </c>
      <c r="C35" s="1" t="s">
        <v>46</v>
      </c>
      <c r="D35" s="1" t="s">
        <v>83</v>
      </c>
      <c r="E35" s="1" t="s">
        <v>168</v>
      </c>
      <c r="F35" s="1" t="s">
        <v>37</v>
      </c>
      <c r="G35" s="1">
        <v>41</v>
      </c>
      <c r="H35" s="1" t="s">
        <v>26</v>
      </c>
      <c r="I35" s="1" t="s">
        <v>27</v>
      </c>
      <c r="J35" s="5">
        <v>42356</v>
      </c>
      <c r="K35" s="8">
        <v>7.7</v>
      </c>
      <c r="L35" s="11">
        <v>1527603</v>
      </c>
      <c r="M35" s="12">
        <v>3.4300000000000004E-2</v>
      </c>
      <c r="N35" s="7">
        <v>1</v>
      </c>
      <c r="O35" s="1" t="s">
        <v>76</v>
      </c>
      <c r="P35" s="1">
        <v>9670918974</v>
      </c>
      <c r="Q35" s="1" t="s">
        <v>2524</v>
      </c>
      <c r="R35" s="10">
        <v>29</v>
      </c>
      <c r="S35" s="10">
        <v>70</v>
      </c>
      <c r="T35" s="1" t="s">
        <v>360</v>
      </c>
      <c r="U35" t="str">
        <f t="shared" si="0"/>
        <v>Invalid</v>
      </c>
      <c r="V35">
        <f t="shared" si="1"/>
        <v>12</v>
      </c>
      <c r="W35" t="str">
        <f t="shared" si="2"/>
        <v>Dec</v>
      </c>
      <c r="X35">
        <f t="shared" si="3"/>
        <v>2015</v>
      </c>
      <c r="Y35">
        <f t="shared" ca="1" si="4"/>
        <v>10</v>
      </c>
      <c r="Z35" t="str" cm="1">
        <f t="array" ref="Z35">_xlfn.IFS(G35&lt;30,"20-29",G35&lt;40,"30-39",G35&lt;50,"40-49",G35&gt;=50,"50+")</f>
        <v>40-49</v>
      </c>
      <c r="AA35" t="str" cm="1">
        <f t="array" ref="AA35">_xlfn.IFS(L35&lt;500000,"Band 1: &lt;5L", L35&lt;1000000,"Band 2: 5-10L", L35&lt;1500000,"Band 3: 10-15L", L35&lt;2000000,"Band 4: 15-20L", L35&gt;=2000000,"Band 5: 20L+")</f>
        <v>Band 4: 15-20L</v>
      </c>
      <c r="AB35" t="str" cm="1">
        <f t="array" ref="AB35">_xlfn.IFS(N35=1,"Poor", N35=2,"Below Average", N35=3,"Average", N35=4,"Good", N35=5,"Excellent")</f>
        <v>Poor</v>
      </c>
      <c r="AC35" s="14">
        <f t="shared" si="5"/>
        <v>52396.782900000006</v>
      </c>
      <c r="AD35" t="str" cm="1">
        <f t="array" ref="AD35">_xlfn.IFS(K35&lt;2,"Junior (0-2 yrs)", K35&lt;5,"Mid-Level (2-5 yrs)", K35&lt;10,"Senior (5-10 yrs)", K35&gt;=10,"Expert (10+ yrs)")</f>
        <v>Senior (5-10 yrs)</v>
      </c>
    </row>
    <row r="36" spans="1:30" x14ac:dyDescent="0.3">
      <c r="A36" s="1" t="s">
        <v>361</v>
      </c>
      <c r="B36" s="1" t="s">
        <v>362</v>
      </c>
      <c r="C36" s="1" t="s">
        <v>69</v>
      </c>
      <c r="D36" s="1" t="s">
        <v>83</v>
      </c>
      <c r="E36" s="1" t="s">
        <v>71</v>
      </c>
      <c r="F36" s="1" t="s">
        <v>37</v>
      </c>
      <c r="G36" s="1">
        <v>43</v>
      </c>
      <c r="H36" s="1" t="s">
        <v>142</v>
      </c>
      <c r="I36" s="1" t="s">
        <v>39</v>
      </c>
      <c r="J36" s="5">
        <v>44393</v>
      </c>
      <c r="K36" s="8">
        <v>27.8</v>
      </c>
      <c r="L36" s="11">
        <v>2233552</v>
      </c>
      <c r="M36" s="12">
        <v>0.1618</v>
      </c>
      <c r="N36" s="7">
        <v>3</v>
      </c>
      <c r="O36" s="1" t="s">
        <v>41</v>
      </c>
      <c r="P36" s="1">
        <v>8181037719</v>
      </c>
      <c r="Q36" s="1" t="s">
        <v>2525</v>
      </c>
      <c r="R36" s="10">
        <v>70</v>
      </c>
      <c r="S36" s="10">
        <v>11</v>
      </c>
      <c r="T36" s="1" t="s">
        <v>138</v>
      </c>
      <c r="U36" t="str">
        <f t="shared" si="0"/>
        <v>Invalid</v>
      </c>
      <c r="V36">
        <f t="shared" si="1"/>
        <v>7</v>
      </c>
      <c r="W36" t="str">
        <f t="shared" si="2"/>
        <v>Jul</v>
      </c>
      <c r="X36">
        <f t="shared" si="3"/>
        <v>2021</v>
      </c>
      <c r="Y36">
        <f t="shared" ca="1" si="4"/>
        <v>4</v>
      </c>
      <c r="Z36" t="str" cm="1">
        <f t="array" ref="Z36">_xlfn.IFS(G36&lt;30,"20-29",G36&lt;40,"30-39",G36&lt;50,"40-49",G36&gt;=50,"50+")</f>
        <v>40-49</v>
      </c>
      <c r="AA36" t="str" cm="1">
        <f t="array" ref="AA36">_xlfn.IFS(L36&lt;500000,"Band 1: &lt;5L", L36&lt;1000000,"Band 2: 5-10L", L36&lt;1500000,"Band 3: 10-15L", L36&lt;2000000,"Band 4: 15-20L", L36&gt;=2000000,"Band 5: 20L+")</f>
        <v>Band 5: 20L+</v>
      </c>
      <c r="AB36" t="str" cm="1">
        <f t="array" ref="AB36">_xlfn.IFS(N36=1,"Poor", N36=2,"Below Average", N36=3,"Average", N36=4,"Good", N36=5,"Excellent")</f>
        <v>Average</v>
      </c>
      <c r="AC36" s="14">
        <f t="shared" si="5"/>
        <v>361388.71360000002</v>
      </c>
      <c r="AD36" t="str" cm="1">
        <f t="array" ref="AD36">_xlfn.IFS(K36&lt;2,"Junior (0-2 yrs)", K36&lt;5,"Mid-Level (2-5 yrs)", K36&lt;10,"Senior (5-10 yrs)", K36&gt;=10,"Expert (10+ yrs)")</f>
        <v>Expert (10+ yrs)</v>
      </c>
    </row>
    <row r="37" spans="1:30" x14ac:dyDescent="0.3">
      <c r="A37" s="1" t="s">
        <v>366</v>
      </c>
      <c r="B37" s="1" t="s">
        <v>367</v>
      </c>
      <c r="C37" s="1" t="s">
        <v>132</v>
      </c>
      <c r="D37" s="1" t="s">
        <v>231</v>
      </c>
      <c r="E37" s="1" t="s">
        <v>102</v>
      </c>
      <c r="F37" s="1" t="s">
        <v>37</v>
      </c>
      <c r="G37" s="1">
        <v>38</v>
      </c>
      <c r="H37" s="1" t="s">
        <v>38</v>
      </c>
      <c r="I37" s="1" t="s">
        <v>39</v>
      </c>
      <c r="J37" s="5">
        <v>44881</v>
      </c>
      <c r="K37" s="8">
        <v>19.8</v>
      </c>
      <c r="L37" s="11">
        <v>941182</v>
      </c>
      <c r="M37" s="12">
        <v>0.24660000000000001</v>
      </c>
      <c r="N37" s="7">
        <v>5</v>
      </c>
      <c r="O37" s="1" t="s">
        <v>41</v>
      </c>
      <c r="P37" s="1">
        <v>9925445989</v>
      </c>
      <c r="Q37" s="1" t="s">
        <v>2587</v>
      </c>
      <c r="R37" s="10">
        <v>80</v>
      </c>
      <c r="S37" s="10">
        <v>56</v>
      </c>
      <c r="T37" s="1" t="s">
        <v>252</v>
      </c>
      <c r="U37" t="str">
        <f t="shared" si="0"/>
        <v>Valid</v>
      </c>
      <c r="V37">
        <f t="shared" si="1"/>
        <v>11</v>
      </c>
      <c r="W37" t="str">
        <f t="shared" si="2"/>
        <v>Nov</v>
      </c>
      <c r="X37">
        <f t="shared" si="3"/>
        <v>2022</v>
      </c>
      <c r="Y37">
        <f t="shared" ca="1" si="4"/>
        <v>3</v>
      </c>
      <c r="Z37" t="str" cm="1">
        <f t="array" ref="Z37">_xlfn.IFS(G37&lt;30,"20-29",G37&lt;40,"30-39",G37&lt;50,"40-49",G37&gt;=50,"50+")</f>
        <v>30-39</v>
      </c>
      <c r="AA37" t="str" cm="1">
        <f t="array" ref="AA37">_xlfn.IFS(L37&lt;500000,"Band 1: &lt;5L", L37&lt;1000000,"Band 2: 5-10L", L37&lt;1500000,"Band 3: 10-15L", L37&lt;2000000,"Band 4: 15-20L", L37&gt;=2000000,"Band 5: 20L+")</f>
        <v>Band 2: 5-10L</v>
      </c>
      <c r="AB37" t="str" cm="1">
        <f t="array" ref="AB37">_xlfn.IFS(N37=1,"Poor", N37=2,"Below Average", N37=3,"Average", N37=4,"Good", N37=5,"Excellent")</f>
        <v>Excellent</v>
      </c>
      <c r="AC37" s="14">
        <f t="shared" si="5"/>
        <v>232095.48120000001</v>
      </c>
      <c r="AD37" t="str" cm="1">
        <f t="array" ref="AD37">_xlfn.IFS(K37&lt;2,"Junior (0-2 yrs)", K37&lt;5,"Mid-Level (2-5 yrs)", K37&lt;10,"Senior (5-10 yrs)", K37&gt;=10,"Expert (10+ yrs)")</f>
        <v>Expert (10+ yrs)</v>
      </c>
    </row>
    <row r="38" spans="1:30" x14ac:dyDescent="0.3">
      <c r="A38" s="1" t="s">
        <v>376</v>
      </c>
      <c r="B38" s="1" t="s">
        <v>377</v>
      </c>
      <c r="C38" s="1" t="s">
        <v>197</v>
      </c>
      <c r="D38" s="1" t="s">
        <v>101</v>
      </c>
      <c r="E38" s="1" t="s">
        <v>290</v>
      </c>
      <c r="F38" s="1" t="s">
        <v>93</v>
      </c>
      <c r="G38" s="1">
        <v>41</v>
      </c>
      <c r="H38" s="1" t="s">
        <v>50</v>
      </c>
      <c r="I38" s="1" t="s">
        <v>74</v>
      </c>
      <c r="J38" s="5">
        <v>40179</v>
      </c>
      <c r="K38" s="8">
        <v>0.6</v>
      </c>
      <c r="L38" s="11">
        <v>2039447</v>
      </c>
      <c r="M38" s="12">
        <v>0.2482</v>
      </c>
      <c r="N38" s="7">
        <v>3</v>
      </c>
      <c r="O38" s="1" t="s">
        <v>76</v>
      </c>
      <c r="P38" s="1">
        <v>9576747064</v>
      </c>
      <c r="Q38" s="1" t="s">
        <v>2588</v>
      </c>
      <c r="R38" s="10">
        <v>50</v>
      </c>
      <c r="S38" s="10">
        <v>82</v>
      </c>
      <c r="T38" s="1" t="s">
        <v>381</v>
      </c>
      <c r="U38" t="str">
        <f t="shared" si="0"/>
        <v>Invalid</v>
      </c>
      <c r="V38">
        <f t="shared" si="1"/>
        <v>1</v>
      </c>
      <c r="W38" t="str">
        <f t="shared" si="2"/>
        <v>Jan</v>
      </c>
      <c r="X38">
        <f t="shared" si="3"/>
        <v>2010</v>
      </c>
      <c r="Y38">
        <f t="shared" ca="1" si="4"/>
        <v>16</v>
      </c>
      <c r="Z38" t="str" cm="1">
        <f t="array" ref="Z38">_xlfn.IFS(G38&lt;30,"20-29",G38&lt;40,"30-39",G38&lt;50,"40-49",G38&gt;=50,"50+")</f>
        <v>40-49</v>
      </c>
      <c r="AA38" t="str" cm="1">
        <f t="array" ref="AA38">_xlfn.IFS(L38&lt;500000,"Band 1: &lt;5L", L38&lt;1000000,"Band 2: 5-10L", L38&lt;1500000,"Band 3: 10-15L", L38&lt;2000000,"Band 4: 15-20L", L38&gt;=2000000,"Band 5: 20L+")</f>
        <v>Band 5: 20L+</v>
      </c>
      <c r="AB38" t="str" cm="1">
        <f t="array" ref="AB38">_xlfn.IFS(N38=1,"Poor", N38=2,"Below Average", N38=3,"Average", N38=4,"Good", N38=5,"Excellent")</f>
        <v>Average</v>
      </c>
      <c r="AC38" s="14">
        <f t="shared" si="5"/>
        <v>506190.74540000001</v>
      </c>
      <c r="AD38" t="str" cm="1">
        <f t="array" ref="AD38">_xlfn.IFS(K38&lt;2,"Junior (0-2 yrs)", K38&lt;5,"Mid-Level (2-5 yrs)", K38&lt;10,"Senior (5-10 yrs)", K38&gt;=10,"Expert (10+ yrs)")</f>
        <v>Junior (0-2 yrs)</v>
      </c>
    </row>
    <row r="39" spans="1:30" x14ac:dyDescent="0.3">
      <c r="A39" s="1" t="s">
        <v>382</v>
      </c>
      <c r="B39" s="1" t="s">
        <v>383</v>
      </c>
      <c r="C39" s="1" t="s">
        <v>132</v>
      </c>
      <c r="D39" s="1" t="s">
        <v>83</v>
      </c>
      <c r="E39" s="1" t="s">
        <v>24</v>
      </c>
      <c r="F39" s="1" t="s">
        <v>37</v>
      </c>
      <c r="G39" s="1">
        <v>53</v>
      </c>
      <c r="H39" s="1" t="s">
        <v>204</v>
      </c>
      <c r="I39" s="1" t="s">
        <v>51</v>
      </c>
      <c r="J39" s="5">
        <v>42228</v>
      </c>
      <c r="K39" s="8">
        <v>25.8</v>
      </c>
      <c r="L39" s="11">
        <v>1905144</v>
      </c>
      <c r="M39" s="12">
        <v>0.1401</v>
      </c>
      <c r="N39" s="7">
        <v>3</v>
      </c>
      <c r="O39" s="1" t="s">
        <v>41</v>
      </c>
      <c r="P39" s="1">
        <v>7815140795</v>
      </c>
      <c r="Q39" s="1" t="s">
        <v>2589</v>
      </c>
      <c r="R39" s="10">
        <v>68</v>
      </c>
      <c r="S39" s="10">
        <v>79</v>
      </c>
      <c r="T39" s="1" t="s">
        <v>172</v>
      </c>
      <c r="U39" t="str">
        <f t="shared" si="0"/>
        <v>Valid</v>
      </c>
      <c r="V39">
        <f t="shared" si="1"/>
        <v>8</v>
      </c>
      <c r="W39" t="str">
        <f t="shared" si="2"/>
        <v>Aug</v>
      </c>
      <c r="X39">
        <f t="shared" si="3"/>
        <v>2015</v>
      </c>
      <c r="Y39">
        <f t="shared" ca="1" si="4"/>
        <v>10</v>
      </c>
      <c r="Z39" t="str" cm="1">
        <f t="array" ref="Z39">_xlfn.IFS(G39&lt;30,"20-29",G39&lt;40,"30-39",G39&lt;50,"40-49",G39&gt;=50,"50+")</f>
        <v>50+</v>
      </c>
      <c r="AA39" t="str" cm="1">
        <f t="array" ref="AA39">_xlfn.IFS(L39&lt;500000,"Band 1: &lt;5L", L39&lt;1000000,"Band 2: 5-10L", L39&lt;1500000,"Band 3: 10-15L", L39&lt;2000000,"Band 4: 15-20L", L39&gt;=2000000,"Band 5: 20L+")</f>
        <v>Band 4: 15-20L</v>
      </c>
      <c r="AB39" t="str" cm="1">
        <f t="array" ref="AB39">_xlfn.IFS(N39=1,"Poor", N39=2,"Below Average", N39=3,"Average", N39=4,"Good", N39=5,"Excellent")</f>
        <v>Average</v>
      </c>
      <c r="AC39" s="14">
        <f t="shared" si="5"/>
        <v>266910.67440000002</v>
      </c>
      <c r="AD39" t="str" cm="1">
        <f t="array" ref="AD39">_xlfn.IFS(K39&lt;2,"Junior (0-2 yrs)", K39&lt;5,"Mid-Level (2-5 yrs)", K39&lt;10,"Senior (5-10 yrs)", K39&gt;=10,"Expert (10+ yrs)")</f>
        <v>Expert (10+ yrs)</v>
      </c>
    </row>
    <row r="40" spans="1:30" x14ac:dyDescent="0.3">
      <c r="A40" s="1" t="s">
        <v>387</v>
      </c>
      <c r="B40" s="1" t="s">
        <v>2511</v>
      </c>
      <c r="C40" s="1" t="s">
        <v>58</v>
      </c>
      <c r="D40" s="1" t="s">
        <v>231</v>
      </c>
      <c r="E40" s="1" t="s">
        <v>24</v>
      </c>
      <c r="F40" s="1" t="s">
        <v>37</v>
      </c>
      <c r="G40" s="1">
        <v>26</v>
      </c>
      <c r="H40" s="1" t="s">
        <v>103</v>
      </c>
      <c r="I40" s="1" t="s">
        <v>51</v>
      </c>
      <c r="J40" s="5">
        <v>42880</v>
      </c>
      <c r="K40" s="8">
        <v>22.4</v>
      </c>
      <c r="L40" s="11">
        <v>1638251</v>
      </c>
      <c r="M40" s="12">
        <v>0.1024</v>
      </c>
      <c r="N40" s="7">
        <v>4</v>
      </c>
      <c r="O40" s="1" t="s">
        <v>41</v>
      </c>
      <c r="P40" s="1">
        <v>7979731971</v>
      </c>
      <c r="Q40" s="1" t="s">
        <v>2590</v>
      </c>
      <c r="R40" s="10">
        <v>41</v>
      </c>
      <c r="S40" s="10">
        <v>108</v>
      </c>
      <c r="T40" s="1" t="s">
        <v>159</v>
      </c>
      <c r="U40" t="str">
        <f t="shared" si="0"/>
        <v>Valid</v>
      </c>
      <c r="V40">
        <f t="shared" si="1"/>
        <v>5</v>
      </c>
      <c r="W40" t="str">
        <f t="shared" si="2"/>
        <v>May</v>
      </c>
      <c r="X40">
        <f t="shared" si="3"/>
        <v>2017</v>
      </c>
      <c r="Y40">
        <f t="shared" ca="1" si="4"/>
        <v>8</v>
      </c>
      <c r="Z40" t="str" cm="1">
        <f t="array" ref="Z40">_xlfn.IFS(G40&lt;30,"20-29",G40&lt;40,"30-39",G40&lt;50,"40-49",G40&gt;=50,"50+")</f>
        <v>20-29</v>
      </c>
      <c r="AA40" t="str" cm="1">
        <f t="array" ref="AA40">_xlfn.IFS(L40&lt;500000,"Band 1: &lt;5L", L40&lt;1000000,"Band 2: 5-10L", L40&lt;1500000,"Band 3: 10-15L", L40&lt;2000000,"Band 4: 15-20L", L40&gt;=2000000,"Band 5: 20L+")</f>
        <v>Band 4: 15-20L</v>
      </c>
      <c r="AB40" t="str" cm="1">
        <f t="array" ref="AB40">_xlfn.IFS(N40=1,"Poor", N40=2,"Below Average", N40=3,"Average", N40=4,"Good", N40=5,"Excellent")</f>
        <v>Good</v>
      </c>
      <c r="AC40" s="14">
        <f t="shared" si="5"/>
        <v>167756.90240000002</v>
      </c>
      <c r="AD40" t="str" cm="1">
        <f t="array" ref="AD40">_xlfn.IFS(K40&lt;2,"Junior (0-2 yrs)", K40&lt;5,"Mid-Level (2-5 yrs)", K40&lt;10,"Senior (5-10 yrs)", K40&gt;=10,"Expert (10+ yrs)")</f>
        <v>Expert (10+ yrs)</v>
      </c>
    </row>
    <row r="41" spans="1:30" x14ac:dyDescent="0.3">
      <c r="A41" s="1" t="s">
        <v>398</v>
      </c>
      <c r="B41" s="1" t="s">
        <v>399</v>
      </c>
      <c r="C41" s="1" t="s">
        <v>69</v>
      </c>
      <c r="D41" s="1" t="s">
        <v>23</v>
      </c>
      <c r="E41" s="1" t="s">
        <v>290</v>
      </c>
      <c r="F41" s="1" t="s">
        <v>37</v>
      </c>
      <c r="G41" s="1">
        <v>31</v>
      </c>
      <c r="H41" s="1" t="s">
        <v>26</v>
      </c>
      <c r="I41" s="1" t="s">
        <v>27</v>
      </c>
      <c r="J41" s="5">
        <v>42127</v>
      </c>
      <c r="K41" s="8">
        <v>22.4</v>
      </c>
      <c r="L41" s="11">
        <v>2421662</v>
      </c>
      <c r="M41" s="12">
        <v>0.20379999999999998</v>
      </c>
      <c r="N41" s="7">
        <v>5</v>
      </c>
      <c r="O41" s="1" t="s">
        <v>41</v>
      </c>
      <c r="P41" s="1">
        <v>8348435054</v>
      </c>
      <c r="Q41" s="1" t="s">
        <v>2591</v>
      </c>
      <c r="R41" s="10">
        <v>60</v>
      </c>
      <c r="S41" s="10">
        <v>42</v>
      </c>
      <c r="T41" s="1" t="s">
        <v>403</v>
      </c>
      <c r="U41" t="str">
        <f t="shared" si="0"/>
        <v>Valid</v>
      </c>
      <c r="V41">
        <f t="shared" si="1"/>
        <v>5</v>
      </c>
      <c r="W41" t="str">
        <f t="shared" si="2"/>
        <v>May</v>
      </c>
      <c r="X41">
        <f t="shared" si="3"/>
        <v>2015</v>
      </c>
      <c r="Y41">
        <f t="shared" ca="1" si="4"/>
        <v>10</v>
      </c>
      <c r="Z41" t="str" cm="1">
        <f t="array" ref="Z41">_xlfn.IFS(G41&lt;30,"20-29",G41&lt;40,"30-39",G41&lt;50,"40-49",G41&gt;=50,"50+")</f>
        <v>30-39</v>
      </c>
      <c r="AA41" t="str" cm="1">
        <f t="array" ref="AA41">_xlfn.IFS(L41&lt;500000,"Band 1: &lt;5L", L41&lt;1000000,"Band 2: 5-10L", L41&lt;1500000,"Band 3: 10-15L", L41&lt;2000000,"Band 4: 15-20L", L41&gt;=2000000,"Band 5: 20L+")</f>
        <v>Band 5: 20L+</v>
      </c>
      <c r="AB41" t="str" cm="1">
        <f t="array" ref="AB41">_xlfn.IFS(N41=1,"Poor", N41=2,"Below Average", N41=3,"Average", N41=4,"Good", N41=5,"Excellent")</f>
        <v>Excellent</v>
      </c>
      <c r="AC41" s="14">
        <f t="shared" si="5"/>
        <v>493534.71559999994</v>
      </c>
      <c r="AD41" t="str" cm="1">
        <f t="array" ref="AD41">_xlfn.IFS(K41&lt;2,"Junior (0-2 yrs)", K41&lt;5,"Mid-Level (2-5 yrs)", K41&lt;10,"Senior (5-10 yrs)", K41&gt;=10,"Expert (10+ yrs)")</f>
        <v>Expert (10+ yrs)</v>
      </c>
    </row>
    <row r="42" spans="1:30" x14ac:dyDescent="0.3">
      <c r="A42" s="1" t="s">
        <v>79</v>
      </c>
      <c r="B42" s="1" t="s">
        <v>404</v>
      </c>
      <c r="C42" s="1" t="s">
        <v>69</v>
      </c>
      <c r="D42" s="1" t="s">
        <v>23</v>
      </c>
      <c r="E42" s="1" t="s">
        <v>92</v>
      </c>
      <c r="F42" s="1" t="s">
        <v>93</v>
      </c>
      <c r="G42" s="1">
        <v>29</v>
      </c>
      <c r="H42" s="1" t="s">
        <v>204</v>
      </c>
      <c r="I42" s="1" t="s">
        <v>74</v>
      </c>
      <c r="J42" s="5">
        <v>42809</v>
      </c>
      <c r="K42" s="8">
        <v>7</v>
      </c>
      <c r="L42" s="11">
        <v>1537477</v>
      </c>
      <c r="M42" s="12">
        <v>0.1905</v>
      </c>
      <c r="N42" s="7">
        <v>5</v>
      </c>
      <c r="O42" s="1" t="s">
        <v>76</v>
      </c>
      <c r="P42" s="1">
        <v>9022191192</v>
      </c>
      <c r="Q42" s="1" t="s">
        <v>2592</v>
      </c>
      <c r="R42" s="10">
        <v>76</v>
      </c>
      <c r="S42" s="10">
        <v>10</v>
      </c>
      <c r="T42" s="1" t="s">
        <v>408</v>
      </c>
      <c r="U42" t="str">
        <f t="shared" si="0"/>
        <v>Valid</v>
      </c>
      <c r="V42">
        <f t="shared" si="1"/>
        <v>3</v>
      </c>
      <c r="W42" t="str">
        <f t="shared" si="2"/>
        <v>Mar</v>
      </c>
      <c r="X42">
        <f t="shared" si="3"/>
        <v>2017</v>
      </c>
      <c r="Y42">
        <f t="shared" ca="1" si="4"/>
        <v>9</v>
      </c>
      <c r="Z42" t="str" cm="1">
        <f t="array" ref="Z42">_xlfn.IFS(G42&lt;30,"20-29",G42&lt;40,"30-39",G42&lt;50,"40-49",G42&gt;=50,"50+")</f>
        <v>20-29</v>
      </c>
      <c r="AA42" t="str" cm="1">
        <f t="array" ref="AA42">_xlfn.IFS(L42&lt;500000,"Band 1: &lt;5L", L42&lt;1000000,"Band 2: 5-10L", L42&lt;1500000,"Band 3: 10-15L", L42&lt;2000000,"Band 4: 15-20L", L42&gt;=2000000,"Band 5: 20L+")</f>
        <v>Band 4: 15-20L</v>
      </c>
      <c r="AB42" t="str" cm="1">
        <f t="array" ref="AB42">_xlfn.IFS(N42=1,"Poor", N42=2,"Below Average", N42=3,"Average", N42=4,"Good", N42=5,"Excellent")</f>
        <v>Excellent</v>
      </c>
      <c r="AC42" s="14">
        <f t="shared" si="5"/>
        <v>292889.36849999998</v>
      </c>
      <c r="AD42" t="str" cm="1">
        <f t="array" ref="AD42">_xlfn.IFS(K42&lt;2,"Junior (0-2 yrs)", K42&lt;5,"Mid-Level (2-5 yrs)", K42&lt;10,"Senior (5-10 yrs)", K42&gt;=10,"Expert (10+ yrs)")</f>
        <v>Senior (5-10 yrs)</v>
      </c>
    </row>
    <row r="43" spans="1:30" x14ac:dyDescent="0.3">
      <c r="A43" s="1" t="s">
        <v>414</v>
      </c>
      <c r="B43" s="1" t="s">
        <v>415</v>
      </c>
      <c r="C43" s="1" t="s">
        <v>69</v>
      </c>
      <c r="D43" s="1" t="s">
        <v>231</v>
      </c>
      <c r="E43" s="1" t="s">
        <v>60</v>
      </c>
      <c r="F43" s="1" t="s">
        <v>93</v>
      </c>
      <c r="G43" s="1">
        <v>45</v>
      </c>
      <c r="H43" s="1" t="s">
        <v>142</v>
      </c>
      <c r="I43" s="1" t="s">
        <v>51</v>
      </c>
      <c r="J43" s="5">
        <v>45172</v>
      </c>
      <c r="K43" s="8">
        <v>10.9</v>
      </c>
      <c r="L43" s="11">
        <v>351131</v>
      </c>
      <c r="M43" s="12">
        <v>0.106</v>
      </c>
      <c r="N43" s="7">
        <v>4</v>
      </c>
      <c r="O43" s="1" t="s">
        <v>76</v>
      </c>
      <c r="P43" s="1">
        <v>8900541784</v>
      </c>
      <c r="Q43" s="1" t="s">
        <v>2593</v>
      </c>
      <c r="R43" s="10">
        <v>17</v>
      </c>
      <c r="S43" s="10">
        <v>76</v>
      </c>
      <c r="T43" s="1" t="s">
        <v>419</v>
      </c>
      <c r="U43" t="str">
        <f t="shared" si="0"/>
        <v>Valid</v>
      </c>
      <c r="V43">
        <f t="shared" si="1"/>
        <v>9</v>
      </c>
      <c r="W43" t="str">
        <f t="shared" si="2"/>
        <v>Sep</v>
      </c>
      <c r="X43">
        <f t="shared" si="3"/>
        <v>2023</v>
      </c>
      <c r="Y43">
        <f t="shared" ca="1" si="4"/>
        <v>2</v>
      </c>
      <c r="Z43" t="str" cm="1">
        <f t="array" ref="Z43">_xlfn.IFS(G43&lt;30,"20-29",G43&lt;40,"30-39",G43&lt;50,"40-49",G43&gt;=50,"50+")</f>
        <v>40-49</v>
      </c>
      <c r="AA43" t="str" cm="1">
        <f t="array" ref="AA43">_xlfn.IFS(L43&lt;500000,"Band 1: &lt;5L", L43&lt;1000000,"Band 2: 5-10L", L43&lt;1500000,"Band 3: 10-15L", L43&lt;2000000,"Band 4: 15-20L", L43&gt;=2000000,"Band 5: 20L+")</f>
        <v>Band 1: &lt;5L</v>
      </c>
      <c r="AB43" t="str" cm="1">
        <f t="array" ref="AB43">_xlfn.IFS(N43=1,"Poor", N43=2,"Below Average", N43=3,"Average", N43=4,"Good", N43=5,"Excellent")</f>
        <v>Good</v>
      </c>
      <c r="AC43" s="14">
        <f t="shared" si="5"/>
        <v>37219.885999999999</v>
      </c>
      <c r="AD43" t="str" cm="1">
        <f t="array" ref="AD43">_xlfn.IFS(K43&lt;2,"Junior (0-2 yrs)", K43&lt;5,"Mid-Level (2-5 yrs)", K43&lt;10,"Senior (5-10 yrs)", K43&gt;=10,"Expert (10+ yrs)")</f>
        <v>Expert (10+ yrs)</v>
      </c>
    </row>
    <row r="44" spans="1:30" x14ac:dyDescent="0.3">
      <c r="A44" s="1" t="s">
        <v>420</v>
      </c>
      <c r="B44" s="1" t="s">
        <v>421</v>
      </c>
      <c r="C44" s="1" t="s">
        <v>197</v>
      </c>
      <c r="D44" s="1" t="s">
        <v>231</v>
      </c>
      <c r="E44" s="1" t="s">
        <v>71</v>
      </c>
      <c r="F44" s="1" t="s">
        <v>93</v>
      </c>
      <c r="G44" s="1">
        <v>54</v>
      </c>
      <c r="H44" s="1" t="s">
        <v>84</v>
      </c>
      <c r="I44" s="1" t="s">
        <v>74</v>
      </c>
      <c r="J44" s="5">
        <v>45537</v>
      </c>
      <c r="K44" s="8">
        <v>20.3</v>
      </c>
      <c r="L44" s="11">
        <v>1568807</v>
      </c>
      <c r="M44" s="12">
        <v>0.17760000000000001</v>
      </c>
      <c r="N44" s="7">
        <v>5</v>
      </c>
      <c r="O44" s="1" t="s">
        <v>41</v>
      </c>
      <c r="P44" s="1">
        <v>8456752978</v>
      </c>
      <c r="Q44" s="1" t="s">
        <v>2594</v>
      </c>
      <c r="R44" s="10">
        <v>33</v>
      </c>
      <c r="S44" s="10">
        <v>5</v>
      </c>
      <c r="T44" s="1" t="s">
        <v>425</v>
      </c>
      <c r="U44" t="str">
        <f t="shared" si="0"/>
        <v>Valid</v>
      </c>
      <c r="V44">
        <f t="shared" si="1"/>
        <v>9</v>
      </c>
      <c r="W44" t="str">
        <f t="shared" si="2"/>
        <v>Sep</v>
      </c>
      <c r="X44">
        <f t="shared" si="3"/>
        <v>2024</v>
      </c>
      <c r="Y44">
        <f t="shared" ca="1" si="4"/>
        <v>1</v>
      </c>
      <c r="Z44" t="str" cm="1">
        <f t="array" ref="Z44">_xlfn.IFS(G44&lt;30,"20-29",G44&lt;40,"30-39",G44&lt;50,"40-49",G44&gt;=50,"50+")</f>
        <v>50+</v>
      </c>
      <c r="AA44" t="str" cm="1">
        <f t="array" ref="AA44">_xlfn.IFS(L44&lt;500000,"Band 1: &lt;5L", L44&lt;1000000,"Band 2: 5-10L", L44&lt;1500000,"Band 3: 10-15L", L44&lt;2000000,"Band 4: 15-20L", L44&gt;=2000000,"Band 5: 20L+")</f>
        <v>Band 4: 15-20L</v>
      </c>
      <c r="AB44" t="str" cm="1">
        <f t="array" ref="AB44">_xlfn.IFS(N44=1,"Poor", N44=2,"Below Average", N44=3,"Average", N44=4,"Good", N44=5,"Excellent")</f>
        <v>Excellent</v>
      </c>
      <c r="AC44" s="14">
        <f t="shared" si="5"/>
        <v>278620.12320000003</v>
      </c>
      <c r="AD44" t="str" cm="1">
        <f t="array" ref="AD44">_xlfn.IFS(K44&lt;2,"Junior (0-2 yrs)", K44&lt;5,"Mid-Level (2-5 yrs)", K44&lt;10,"Senior (5-10 yrs)", K44&gt;=10,"Expert (10+ yrs)")</f>
        <v>Expert (10+ yrs)</v>
      </c>
    </row>
    <row r="45" spans="1:30" x14ac:dyDescent="0.3">
      <c r="A45" s="1" t="s">
        <v>426</v>
      </c>
      <c r="B45" s="1" t="s">
        <v>427</v>
      </c>
      <c r="C45" s="1" t="s">
        <v>197</v>
      </c>
      <c r="D45" s="1" t="s">
        <v>83</v>
      </c>
      <c r="E45" s="1" t="s">
        <v>24</v>
      </c>
      <c r="F45" s="1" t="s">
        <v>93</v>
      </c>
      <c r="G45" s="1">
        <v>53</v>
      </c>
      <c r="H45" s="1" t="s">
        <v>26</v>
      </c>
      <c r="I45" s="1" t="s">
        <v>198</v>
      </c>
      <c r="J45" s="5">
        <v>41281</v>
      </c>
      <c r="K45" s="8">
        <v>27.2</v>
      </c>
      <c r="L45" s="11">
        <v>454333</v>
      </c>
      <c r="M45" s="12">
        <v>0.16500000000000001</v>
      </c>
      <c r="N45" s="7">
        <v>3</v>
      </c>
      <c r="O45" s="1" t="s">
        <v>41</v>
      </c>
      <c r="P45" s="1">
        <v>9444275463</v>
      </c>
      <c r="Q45" s="1" t="s">
        <v>2595</v>
      </c>
      <c r="R45" s="10">
        <v>77</v>
      </c>
      <c r="S45" s="10">
        <v>8</v>
      </c>
      <c r="T45" s="1" t="s">
        <v>431</v>
      </c>
      <c r="U45" t="str">
        <f t="shared" si="0"/>
        <v>Valid</v>
      </c>
      <c r="V45">
        <f t="shared" si="1"/>
        <v>1</v>
      </c>
      <c r="W45" t="str">
        <f t="shared" si="2"/>
        <v>Jan</v>
      </c>
      <c r="X45">
        <f t="shared" si="3"/>
        <v>2013</v>
      </c>
      <c r="Y45">
        <f t="shared" ca="1" si="4"/>
        <v>13</v>
      </c>
      <c r="Z45" t="str" cm="1">
        <f t="array" ref="Z45">_xlfn.IFS(G45&lt;30,"20-29",G45&lt;40,"30-39",G45&lt;50,"40-49",G45&gt;=50,"50+")</f>
        <v>50+</v>
      </c>
      <c r="AA45" t="str" cm="1">
        <f t="array" ref="AA45">_xlfn.IFS(L45&lt;500000,"Band 1: &lt;5L", L45&lt;1000000,"Band 2: 5-10L", L45&lt;1500000,"Band 3: 10-15L", L45&lt;2000000,"Band 4: 15-20L", L45&gt;=2000000,"Band 5: 20L+")</f>
        <v>Band 1: &lt;5L</v>
      </c>
      <c r="AB45" t="str" cm="1">
        <f t="array" ref="AB45">_xlfn.IFS(N45=1,"Poor", N45=2,"Below Average", N45=3,"Average", N45=4,"Good", N45=5,"Excellent")</f>
        <v>Average</v>
      </c>
      <c r="AC45" s="14">
        <f t="shared" si="5"/>
        <v>74964.945000000007</v>
      </c>
      <c r="AD45" t="str" cm="1">
        <f t="array" ref="AD45">_xlfn.IFS(K45&lt;2,"Junior (0-2 yrs)", K45&lt;5,"Mid-Level (2-5 yrs)", K45&lt;10,"Senior (5-10 yrs)", K45&gt;=10,"Expert (10+ yrs)")</f>
        <v>Expert (10+ yrs)</v>
      </c>
    </row>
    <row r="46" spans="1:30" x14ac:dyDescent="0.3">
      <c r="A46" s="1" t="s">
        <v>432</v>
      </c>
      <c r="B46" s="1" t="s">
        <v>433</v>
      </c>
      <c r="C46" s="1" t="s">
        <v>110</v>
      </c>
      <c r="D46" s="1" t="s">
        <v>244</v>
      </c>
      <c r="E46" s="1" t="s">
        <v>71</v>
      </c>
      <c r="F46" s="1" t="s">
        <v>37</v>
      </c>
      <c r="G46" s="1">
        <v>44</v>
      </c>
      <c r="H46" s="1" t="s">
        <v>26</v>
      </c>
      <c r="I46" s="1" t="s">
        <v>39</v>
      </c>
      <c r="J46" s="5">
        <v>42638</v>
      </c>
      <c r="K46" s="8">
        <v>8.6999999999999993</v>
      </c>
      <c r="L46" s="11">
        <v>1841662</v>
      </c>
      <c r="M46" s="12">
        <v>6.6900000000000001E-2</v>
      </c>
      <c r="N46" s="7">
        <v>5</v>
      </c>
      <c r="O46" s="1" t="s">
        <v>76</v>
      </c>
      <c r="P46" s="1">
        <v>7112759345</v>
      </c>
      <c r="Q46" s="1" t="s">
        <v>2596</v>
      </c>
      <c r="R46" s="10">
        <v>39</v>
      </c>
      <c r="S46" s="10">
        <v>44</v>
      </c>
      <c r="T46" s="1" t="s">
        <v>32</v>
      </c>
      <c r="U46" t="str">
        <f t="shared" si="0"/>
        <v>Valid</v>
      </c>
      <c r="V46">
        <f t="shared" si="1"/>
        <v>9</v>
      </c>
      <c r="W46" t="str">
        <f t="shared" si="2"/>
        <v>Sep</v>
      </c>
      <c r="X46">
        <f t="shared" si="3"/>
        <v>2016</v>
      </c>
      <c r="Y46">
        <f t="shared" ca="1" si="4"/>
        <v>9</v>
      </c>
      <c r="Z46" t="str" cm="1">
        <f t="array" ref="Z46">_xlfn.IFS(G46&lt;30,"20-29",G46&lt;40,"30-39",G46&lt;50,"40-49",G46&gt;=50,"50+")</f>
        <v>40-49</v>
      </c>
      <c r="AA46" t="str" cm="1">
        <f t="array" ref="AA46">_xlfn.IFS(L46&lt;500000,"Band 1: &lt;5L", L46&lt;1000000,"Band 2: 5-10L", L46&lt;1500000,"Band 3: 10-15L", L46&lt;2000000,"Band 4: 15-20L", L46&gt;=2000000,"Band 5: 20L+")</f>
        <v>Band 4: 15-20L</v>
      </c>
      <c r="AB46" t="str" cm="1">
        <f t="array" ref="AB46">_xlfn.IFS(N46=1,"Poor", N46=2,"Below Average", N46=3,"Average", N46=4,"Good", N46=5,"Excellent")</f>
        <v>Excellent</v>
      </c>
      <c r="AC46" s="14">
        <f t="shared" si="5"/>
        <v>123207.1878</v>
      </c>
      <c r="AD46" t="str" cm="1">
        <f t="array" ref="AD46">_xlfn.IFS(K46&lt;2,"Junior (0-2 yrs)", K46&lt;5,"Mid-Level (2-5 yrs)", K46&lt;10,"Senior (5-10 yrs)", K46&gt;=10,"Expert (10+ yrs)")</f>
        <v>Senior (5-10 yrs)</v>
      </c>
    </row>
    <row r="47" spans="1:30" x14ac:dyDescent="0.3">
      <c r="A47" s="1" t="s">
        <v>437</v>
      </c>
      <c r="B47" s="1" t="s">
        <v>438</v>
      </c>
      <c r="C47" s="1" t="s">
        <v>110</v>
      </c>
      <c r="D47" s="1" t="s">
        <v>23</v>
      </c>
      <c r="E47" s="1" t="s">
        <v>155</v>
      </c>
      <c r="F47" s="1" t="s">
        <v>37</v>
      </c>
      <c r="G47" s="1">
        <v>37</v>
      </c>
      <c r="H47" s="1" t="s">
        <v>73</v>
      </c>
      <c r="I47" s="1" t="s">
        <v>51</v>
      </c>
      <c r="J47" s="5">
        <v>41295</v>
      </c>
      <c r="K47" s="8">
        <v>9.1999999999999993</v>
      </c>
      <c r="L47" s="11">
        <v>1093151</v>
      </c>
      <c r="M47" s="12">
        <v>0.19769999999999999</v>
      </c>
      <c r="N47" s="7">
        <v>3</v>
      </c>
      <c r="O47" s="1" t="s">
        <v>41</v>
      </c>
      <c r="P47" s="1">
        <v>9100198814</v>
      </c>
      <c r="Q47" s="1" t="s">
        <v>2597</v>
      </c>
      <c r="R47" s="10">
        <v>21</v>
      </c>
      <c r="S47" s="10">
        <v>96</v>
      </c>
      <c r="T47" s="1" t="s">
        <v>152</v>
      </c>
      <c r="U47" t="str">
        <f t="shared" si="0"/>
        <v>Valid</v>
      </c>
      <c r="V47">
        <f t="shared" si="1"/>
        <v>1</v>
      </c>
      <c r="W47" t="str">
        <f t="shared" si="2"/>
        <v>Jan</v>
      </c>
      <c r="X47">
        <f t="shared" si="3"/>
        <v>2013</v>
      </c>
      <c r="Y47">
        <f t="shared" ca="1" si="4"/>
        <v>13</v>
      </c>
      <c r="Z47" t="str" cm="1">
        <f t="array" ref="Z47">_xlfn.IFS(G47&lt;30,"20-29",G47&lt;40,"30-39",G47&lt;50,"40-49",G47&gt;=50,"50+")</f>
        <v>30-39</v>
      </c>
      <c r="AA47" t="str" cm="1">
        <f t="array" ref="AA47">_xlfn.IFS(L47&lt;500000,"Band 1: &lt;5L", L47&lt;1000000,"Band 2: 5-10L", L47&lt;1500000,"Band 3: 10-15L", L47&lt;2000000,"Band 4: 15-20L", L47&gt;=2000000,"Band 5: 20L+")</f>
        <v>Band 3: 10-15L</v>
      </c>
      <c r="AB47" t="str" cm="1">
        <f t="array" ref="AB47">_xlfn.IFS(N47=1,"Poor", N47=2,"Below Average", N47=3,"Average", N47=4,"Good", N47=5,"Excellent")</f>
        <v>Average</v>
      </c>
      <c r="AC47" s="14">
        <f t="shared" si="5"/>
        <v>216115.95269999999</v>
      </c>
      <c r="AD47" t="str" cm="1">
        <f t="array" ref="AD47">_xlfn.IFS(K47&lt;2,"Junior (0-2 yrs)", K47&lt;5,"Mid-Level (2-5 yrs)", K47&lt;10,"Senior (5-10 yrs)", K47&gt;=10,"Expert (10+ yrs)")</f>
        <v>Senior (5-10 yrs)</v>
      </c>
    </row>
    <row r="48" spans="1:30" x14ac:dyDescent="0.3">
      <c r="A48" s="1" t="s">
        <v>447</v>
      </c>
      <c r="B48" s="1" t="s">
        <v>2401</v>
      </c>
      <c r="C48" s="1" t="s">
        <v>124</v>
      </c>
      <c r="D48" s="1" t="s">
        <v>83</v>
      </c>
      <c r="E48" s="1" t="s">
        <v>189</v>
      </c>
      <c r="F48" s="1" t="s">
        <v>93</v>
      </c>
      <c r="G48" s="1">
        <v>36</v>
      </c>
      <c r="H48" s="1" t="s">
        <v>26</v>
      </c>
      <c r="I48" s="1" t="s">
        <v>27</v>
      </c>
      <c r="J48" s="5">
        <v>41465</v>
      </c>
      <c r="K48" s="8">
        <v>11.4</v>
      </c>
      <c r="L48" s="11">
        <v>1467935</v>
      </c>
      <c r="M48" s="12">
        <v>0.23980000000000001</v>
      </c>
      <c r="N48" s="7">
        <v>4</v>
      </c>
      <c r="O48" s="1" t="s">
        <v>41</v>
      </c>
      <c r="P48" s="1">
        <v>9302882127</v>
      </c>
      <c r="Q48" s="1" t="s">
        <v>2598</v>
      </c>
      <c r="R48" s="10">
        <v>80</v>
      </c>
      <c r="S48" s="10">
        <v>86</v>
      </c>
      <c r="T48" s="1" t="s">
        <v>213</v>
      </c>
      <c r="U48" t="str">
        <f t="shared" si="0"/>
        <v>Invalid</v>
      </c>
      <c r="V48">
        <f t="shared" si="1"/>
        <v>7</v>
      </c>
      <c r="W48" t="str">
        <f t="shared" si="2"/>
        <v>Jul</v>
      </c>
      <c r="X48">
        <f t="shared" si="3"/>
        <v>2013</v>
      </c>
      <c r="Y48">
        <f t="shared" ca="1" si="4"/>
        <v>12</v>
      </c>
      <c r="Z48" t="str" cm="1">
        <f t="array" ref="Z48">_xlfn.IFS(G48&lt;30,"20-29",G48&lt;40,"30-39",G48&lt;50,"40-49",G48&gt;=50,"50+")</f>
        <v>30-39</v>
      </c>
      <c r="AA48" t="str" cm="1">
        <f t="array" ref="AA48">_xlfn.IFS(L48&lt;500000,"Band 1: &lt;5L", L48&lt;1000000,"Band 2: 5-10L", L48&lt;1500000,"Band 3: 10-15L", L48&lt;2000000,"Band 4: 15-20L", L48&gt;=2000000,"Band 5: 20L+")</f>
        <v>Band 3: 10-15L</v>
      </c>
      <c r="AB48" t="str" cm="1">
        <f t="array" ref="AB48">_xlfn.IFS(N48=1,"Poor", N48=2,"Below Average", N48=3,"Average", N48=4,"Good", N48=5,"Excellent")</f>
        <v>Good</v>
      </c>
      <c r="AC48" s="14">
        <f t="shared" si="5"/>
        <v>352010.81300000002</v>
      </c>
      <c r="AD48" t="str" cm="1">
        <f t="array" ref="AD48">_xlfn.IFS(K48&lt;2,"Junior (0-2 yrs)", K48&lt;5,"Mid-Level (2-5 yrs)", K48&lt;10,"Senior (5-10 yrs)", K48&gt;=10,"Expert (10+ yrs)")</f>
        <v>Expert (10+ yrs)</v>
      </c>
    </row>
    <row r="49" spans="1:30" x14ac:dyDescent="0.3">
      <c r="A49" s="1" t="s">
        <v>452</v>
      </c>
      <c r="B49" s="1" t="s">
        <v>453</v>
      </c>
      <c r="C49" s="1" t="s">
        <v>69</v>
      </c>
      <c r="D49" s="1" t="s">
        <v>244</v>
      </c>
      <c r="E49" s="1" t="s">
        <v>102</v>
      </c>
      <c r="F49" s="1" t="s">
        <v>93</v>
      </c>
      <c r="G49" s="1">
        <v>32</v>
      </c>
      <c r="H49" s="1" t="s">
        <v>62</v>
      </c>
      <c r="I49" s="1" t="s">
        <v>51</v>
      </c>
      <c r="J49" s="5">
        <v>42169</v>
      </c>
      <c r="K49" s="8">
        <v>27.1</v>
      </c>
      <c r="L49" s="11">
        <v>2158127</v>
      </c>
      <c r="M49" s="12">
        <v>0.19140000000000001</v>
      </c>
      <c r="N49" s="7">
        <v>3</v>
      </c>
      <c r="O49" s="1" t="s">
        <v>41</v>
      </c>
      <c r="P49" s="1">
        <v>9613115539</v>
      </c>
      <c r="Q49" s="1" t="s">
        <v>2599</v>
      </c>
      <c r="R49" s="10">
        <v>32</v>
      </c>
      <c r="S49" s="10">
        <v>57</v>
      </c>
      <c r="T49" s="1" t="s">
        <v>457</v>
      </c>
      <c r="U49" t="str">
        <f t="shared" si="0"/>
        <v>Valid</v>
      </c>
      <c r="V49">
        <f t="shared" si="1"/>
        <v>6</v>
      </c>
      <c r="W49" t="str">
        <f t="shared" si="2"/>
        <v>Jun</v>
      </c>
      <c r="X49">
        <f t="shared" si="3"/>
        <v>2015</v>
      </c>
      <c r="Y49">
        <f t="shared" ca="1" si="4"/>
        <v>10</v>
      </c>
      <c r="Z49" t="str" cm="1">
        <f t="array" ref="Z49">_xlfn.IFS(G49&lt;30,"20-29",G49&lt;40,"30-39",G49&lt;50,"40-49",G49&gt;=50,"50+")</f>
        <v>30-39</v>
      </c>
      <c r="AA49" t="str" cm="1">
        <f t="array" ref="AA49">_xlfn.IFS(L49&lt;500000,"Band 1: &lt;5L", L49&lt;1000000,"Band 2: 5-10L", L49&lt;1500000,"Band 3: 10-15L", L49&lt;2000000,"Band 4: 15-20L", L49&gt;=2000000,"Band 5: 20L+")</f>
        <v>Band 5: 20L+</v>
      </c>
      <c r="AB49" t="str" cm="1">
        <f t="array" ref="AB49">_xlfn.IFS(N49=1,"Poor", N49=2,"Below Average", N49=3,"Average", N49=4,"Good", N49=5,"Excellent")</f>
        <v>Average</v>
      </c>
      <c r="AC49" s="14">
        <f t="shared" si="5"/>
        <v>413065.50780000002</v>
      </c>
      <c r="AD49" t="str" cm="1">
        <f t="array" ref="AD49">_xlfn.IFS(K49&lt;2,"Junior (0-2 yrs)", K49&lt;5,"Mid-Level (2-5 yrs)", K49&lt;10,"Senior (5-10 yrs)", K49&gt;=10,"Expert (10+ yrs)")</f>
        <v>Expert (10+ yrs)</v>
      </c>
    </row>
    <row r="50" spans="1:30" x14ac:dyDescent="0.3">
      <c r="A50" s="1" t="s">
        <v>458</v>
      </c>
      <c r="B50" s="1" t="s">
        <v>459</v>
      </c>
      <c r="C50" s="1" t="s">
        <v>197</v>
      </c>
      <c r="D50" s="1" t="s">
        <v>244</v>
      </c>
      <c r="E50" s="1" t="s">
        <v>92</v>
      </c>
      <c r="F50" s="1" t="s">
        <v>93</v>
      </c>
      <c r="G50" s="1">
        <v>24</v>
      </c>
      <c r="H50" s="1" t="s">
        <v>204</v>
      </c>
      <c r="I50" s="1" t="s">
        <v>27</v>
      </c>
      <c r="J50" s="5">
        <v>40781</v>
      </c>
      <c r="K50" s="8">
        <v>12.2</v>
      </c>
      <c r="L50" s="11">
        <v>2068892</v>
      </c>
      <c r="M50" s="12">
        <v>9.6000000000000002E-2</v>
      </c>
      <c r="N50" s="7">
        <v>2</v>
      </c>
      <c r="O50" s="1" t="s">
        <v>76</v>
      </c>
      <c r="P50" s="1">
        <v>7052503784</v>
      </c>
      <c r="Q50" s="1" t="s">
        <v>2600</v>
      </c>
      <c r="R50" s="10">
        <v>62</v>
      </c>
      <c r="S50" s="10">
        <v>85</v>
      </c>
      <c r="T50" s="1" t="s">
        <v>159</v>
      </c>
      <c r="U50" t="str">
        <f t="shared" si="0"/>
        <v>Invalid</v>
      </c>
      <c r="V50">
        <f t="shared" si="1"/>
        <v>8</v>
      </c>
      <c r="W50" t="str">
        <f t="shared" si="2"/>
        <v>Aug</v>
      </c>
      <c r="X50">
        <f t="shared" si="3"/>
        <v>2011</v>
      </c>
      <c r="Y50">
        <f t="shared" ca="1" si="4"/>
        <v>14</v>
      </c>
      <c r="Z50" t="str" cm="1">
        <f t="array" ref="Z50">_xlfn.IFS(G50&lt;30,"20-29",G50&lt;40,"30-39",G50&lt;50,"40-49",G50&gt;=50,"50+")</f>
        <v>20-29</v>
      </c>
      <c r="AA50" t="str" cm="1">
        <f t="array" ref="AA50">_xlfn.IFS(L50&lt;500000,"Band 1: &lt;5L", L50&lt;1000000,"Band 2: 5-10L", L50&lt;1500000,"Band 3: 10-15L", L50&lt;2000000,"Band 4: 15-20L", L50&gt;=2000000,"Band 5: 20L+")</f>
        <v>Band 5: 20L+</v>
      </c>
      <c r="AB50" t="str" cm="1">
        <f t="array" ref="AB50">_xlfn.IFS(N50=1,"Poor", N50=2,"Below Average", N50=3,"Average", N50=4,"Good", N50=5,"Excellent")</f>
        <v>Below Average</v>
      </c>
      <c r="AC50" s="14">
        <f t="shared" si="5"/>
        <v>198613.63200000001</v>
      </c>
      <c r="AD50" t="str" cm="1">
        <f t="array" ref="AD50">_xlfn.IFS(K50&lt;2,"Junior (0-2 yrs)", K50&lt;5,"Mid-Level (2-5 yrs)", K50&lt;10,"Senior (5-10 yrs)", K50&gt;=10,"Expert (10+ yrs)")</f>
        <v>Expert (10+ yrs)</v>
      </c>
    </row>
    <row r="51" spans="1:30" x14ac:dyDescent="0.3">
      <c r="A51" s="1" t="s">
        <v>463</v>
      </c>
      <c r="B51" s="1" t="s">
        <v>464</v>
      </c>
      <c r="C51" s="1" t="s">
        <v>197</v>
      </c>
      <c r="D51" s="1" t="s">
        <v>231</v>
      </c>
      <c r="E51" s="1" t="s">
        <v>92</v>
      </c>
      <c r="F51" s="1" t="s">
        <v>37</v>
      </c>
      <c r="G51" s="1">
        <v>44</v>
      </c>
      <c r="H51" s="1" t="s">
        <v>84</v>
      </c>
      <c r="I51" s="1" t="s">
        <v>39</v>
      </c>
      <c r="J51" s="5">
        <v>45203</v>
      </c>
      <c r="K51" s="8">
        <v>29.2</v>
      </c>
      <c r="L51" s="11">
        <v>1473104</v>
      </c>
      <c r="M51" s="12">
        <v>0.1105</v>
      </c>
      <c r="N51" s="7">
        <v>3</v>
      </c>
      <c r="O51" s="1" t="s">
        <v>41</v>
      </c>
      <c r="P51" s="1">
        <v>9689635834</v>
      </c>
      <c r="Q51" s="1" t="s">
        <v>2601</v>
      </c>
      <c r="R51" s="10">
        <v>26</v>
      </c>
      <c r="S51" s="10">
        <v>103</v>
      </c>
      <c r="T51" s="1" t="s">
        <v>468</v>
      </c>
      <c r="U51" t="str">
        <f t="shared" si="0"/>
        <v>Invalid</v>
      </c>
      <c r="V51">
        <f t="shared" si="1"/>
        <v>10</v>
      </c>
      <c r="W51" t="str">
        <f t="shared" si="2"/>
        <v>Oct</v>
      </c>
      <c r="X51">
        <f t="shared" si="3"/>
        <v>2023</v>
      </c>
      <c r="Y51">
        <f t="shared" ca="1" si="4"/>
        <v>2</v>
      </c>
      <c r="Z51" t="str" cm="1">
        <f t="array" ref="Z51">_xlfn.IFS(G51&lt;30,"20-29",G51&lt;40,"30-39",G51&lt;50,"40-49",G51&gt;=50,"50+")</f>
        <v>40-49</v>
      </c>
      <c r="AA51" t="str" cm="1">
        <f t="array" ref="AA51">_xlfn.IFS(L51&lt;500000,"Band 1: &lt;5L", L51&lt;1000000,"Band 2: 5-10L", L51&lt;1500000,"Band 3: 10-15L", L51&lt;2000000,"Band 4: 15-20L", L51&gt;=2000000,"Band 5: 20L+")</f>
        <v>Band 3: 10-15L</v>
      </c>
      <c r="AB51" t="str" cm="1">
        <f t="array" ref="AB51">_xlfn.IFS(N51=1,"Poor", N51=2,"Below Average", N51=3,"Average", N51=4,"Good", N51=5,"Excellent")</f>
        <v>Average</v>
      </c>
      <c r="AC51" s="14">
        <f t="shared" si="5"/>
        <v>162777.992</v>
      </c>
      <c r="AD51" t="str" cm="1">
        <f t="array" ref="AD51">_xlfn.IFS(K51&lt;2,"Junior (0-2 yrs)", K51&lt;5,"Mid-Level (2-5 yrs)", K51&lt;10,"Senior (5-10 yrs)", K51&gt;=10,"Expert (10+ yrs)")</f>
        <v>Expert (10+ yrs)</v>
      </c>
    </row>
    <row r="52" spans="1:30" x14ac:dyDescent="0.3">
      <c r="A52" s="1" t="s">
        <v>469</v>
      </c>
      <c r="B52" s="1" t="s">
        <v>470</v>
      </c>
      <c r="C52" s="1" t="s">
        <v>46</v>
      </c>
      <c r="D52" s="1" t="s">
        <v>244</v>
      </c>
      <c r="E52" s="1" t="s">
        <v>168</v>
      </c>
      <c r="F52" s="1" t="s">
        <v>37</v>
      </c>
      <c r="G52" s="1">
        <v>24</v>
      </c>
      <c r="H52" s="1" t="s">
        <v>103</v>
      </c>
      <c r="I52" s="1" t="s">
        <v>74</v>
      </c>
      <c r="J52" s="5">
        <v>42199</v>
      </c>
      <c r="K52" s="8">
        <v>2.1</v>
      </c>
      <c r="L52" s="11">
        <v>1900320</v>
      </c>
      <c r="M52" s="12">
        <v>0.158</v>
      </c>
      <c r="N52" s="7">
        <v>2</v>
      </c>
      <c r="O52" s="1" t="s">
        <v>41</v>
      </c>
      <c r="P52" s="1">
        <v>9803665224</v>
      </c>
      <c r="Q52" s="1" t="s">
        <v>2526</v>
      </c>
      <c r="R52" s="10">
        <v>67</v>
      </c>
      <c r="S52" s="10">
        <v>69</v>
      </c>
      <c r="T52" s="1" t="s">
        <v>354</v>
      </c>
      <c r="U52" t="str">
        <f t="shared" si="0"/>
        <v>Invalid</v>
      </c>
      <c r="V52">
        <f t="shared" si="1"/>
        <v>7</v>
      </c>
      <c r="W52" t="str">
        <f t="shared" si="2"/>
        <v>Jul</v>
      </c>
      <c r="X52">
        <f t="shared" si="3"/>
        <v>2015</v>
      </c>
      <c r="Y52">
        <f t="shared" ca="1" si="4"/>
        <v>10</v>
      </c>
      <c r="Z52" t="str" cm="1">
        <f t="array" ref="Z52">_xlfn.IFS(G52&lt;30,"20-29",G52&lt;40,"30-39",G52&lt;50,"40-49",G52&gt;=50,"50+")</f>
        <v>20-29</v>
      </c>
      <c r="AA52" t="str" cm="1">
        <f t="array" ref="AA52">_xlfn.IFS(L52&lt;500000,"Band 1: &lt;5L", L52&lt;1000000,"Band 2: 5-10L", L52&lt;1500000,"Band 3: 10-15L", L52&lt;2000000,"Band 4: 15-20L", L52&gt;=2000000,"Band 5: 20L+")</f>
        <v>Band 4: 15-20L</v>
      </c>
      <c r="AB52" t="str" cm="1">
        <f t="array" ref="AB52">_xlfn.IFS(N52=1,"Poor", N52=2,"Below Average", N52=3,"Average", N52=4,"Good", N52=5,"Excellent")</f>
        <v>Below Average</v>
      </c>
      <c r="AC52" s="14">
        <f t="shared" si="5"/>
        <v>300250.56</v>
      </c>
      <c r="AD52" t="str" cm="1">
        <f t="array" ref="AD52">_xlfn.IFS(K52&lt;2,"Junior (0-2 yrs)", K52&lt;5,"Mid-Level (2-5 yrs)", K52&lt;10,"Senior (5-10 yrs)", K52&gt;=10,"Expert (10+ yrs)")</f>
        <v>Mid-Level (2-5 yrs)</v>
      </c>
    </row>
    <row r="53" spans="1:30" x14ac:dyDescent="0.3">
      <c r="A53" s="1" t="s">
        <v>484</v>
      </c>
      <c r="B53" s="1" t="s">
        <v>485</v>
      </c>
      <c r="C53" s="1" t="s">
        <v>69</v>
      </c>
      <c r="D53" s="1" t="s">
        <v>231</v>
      </c>
      <c r="E53" s="1" t="s">
        <v>102</v>
      </c>
      <c r="F53" s="1" t="s">
        <v>37</v>
      </c>
      <c r="G53" s="1">
        <v>53</v>
      </c>
      <c r="H53" s="1" t="s">
        <v>26</v>
      </c>
      <c r="I53" s="1" t="s">
        <v>27</v>
      </c>
      <c r="J53" s="5">
        <v>44744</v>
      </c>
      <c r="K53" s="8">
        <v>24.3</v>
      </c>
      <c r="L53" s="11">
        <v>1924469</v>
      </c>
      <c r="M53" s="12">
        <v>0.23699999999999999</v>
      </c>
      <c r="N53" s="7">
        <v>4</v>
      </c>
      <c r="O53" s="1" t="s">
        <v>41</v>
      </c>
      <c r="P53" s="1">
        <v>9118926603</v>
      </c>
      <c r="Q53" s="1" t="s">
        <v>2602</v>
      </c>
      <c r="R53" s="10">
        <v>21</v>
      </c>
      <c r="S53" s="10">
        <v>94</v>
      </c>
      <c r="T53" s="1" t="s">
        <v>309</v>
      </c>
      <c r="U53" t="str">
        <f t="shared" si="0"/>
        <v>Valid</v>
      </c>
      <c r="V53">
        <f t="shared" si="1"/>
        <v>7</v>
      </c>
      <c r="W53" t="str">
        <f t="shared" si="2"/>
        <v>Jul</v>
      </c>
      <c r="X53">
        <f t="shared" si="3"/>
        <v>2022</v>
      </c>
      <c r="Y53">
        <f t="shared" ca="1" si="4"/>
        <v>3</v>
      </c>
      <c r="Z53" t="str" cm="1">
        <f t="array" ref="Z53">_xlfn.IFS(G53&lt;30,"20-29",G53&lt;40,"30-39",G53&lt;50,"40-49",G53&gt;=50,"50+")</f>
        <v>50+</v>
      </c>
      <c r="AA53" t="str" cm="1">
        <f t="array" ref="AA53">_xlfn.IFS(L53&lt;500000,"Band 1: &lt;5L", L53&lt;1000000,"Band 2: 5-10L", L53&lt;1500000,"Band 3: 10-15L", L53&lt;2000000,"Band 4: 15-20L", L53&gt;=2000000,"Band 5: 20L+")</f>
        <v>Band 4: 15-20L</v>
      </c>
      <c r="AB53" t="str" cm="1">
        <f t="array" ref="AB53">_xlfn.IFS(N53=1,"Poor", N53=2,"Below Average", N53=3,"Average", N53=4,"Good", N53=5,"Excellent")</f>
        <v>Good</v>
      </c>
      <c r="AC53" s="14">
        <f t="shared" si="5"/>
        <v>456099.15299999999</v>
      </c>
      <c r="AD53" t="str" cm="1">
        <f t="array" ref="AD53">_xlfn.IFS(K53&lt;2,"Junior (0-2 yrs)", K53&lt;5,"Mid-Level (2-5 yrs)", K53&lt;10,"Senior (5-10 yrs)", K53&gt;=10,"Expert (10+ yrs)")</f>
        <v>Expert (10+ yrs)</v>
      </c>
    </row>
    <row r="54" spans="1:30" x14ac:dyDescent="0.3">
      <c r="A54" s="1" t="s">
        <v>489</v>
      </c>
      <c r="B54" s="1" t="s">
        <v>490</v>
      </c>
      <c r="C54" s="1" t="s">
        <v>58</v>
      </c>
      <c r="D54" s="1" t="s">
        <v>101</v>
      </c>
      <c r="E54" s="1" t="s">
        <v>102</v>
      </c>
      <c r="F54" s="1" t="s">
        <v>37</v>
      </c>
      <c r="G54" s="1">
        <v>50</v>
      </c>
      <c r="H54" s="1" t="s">
        <v>38</v>
      </c>
      <c r="I54" s="1" t="s">
        <v>39</v>
      </c>
      <c r="J54" s="5">
        <v>43379</v>
      </c>
      <c r="K54" s="8">
        <v>11.8</v>
      </c>
      <c r="L54" s="11">
        <v>657801</v>
      </c>
      <c r="M54" s="12">
        <v>4.0500000000000001E-2</v>
      </c>
      <c r="N54" s="7">
        <v>3</v>
      </c>
      <c r="O54" s="1" t="s">
        <v>41</v>
      </c>
      <c r="P54" s="1">
        <v>8439643578</v>
      </c>
      <c r="Q54" s="1" t="s">
        <v>2527</v>
      </c>
      <c r="R54" s="10">
        <v>6</v>
      </c>
      <c r="S54" s="10">
        <v>39</v>
      </c>
      <c r="T54" s="1" t="s">
        <v>494</v>
      </c>
      <c r="U54" t="str">
        <f t="shared" si="0"/>
        <v>Invalid</v>
      </c>
      <c r="V54">
        <f t="shared" si="1"/>
        <v>10</v>
      </c>
      <c r="W54" t="str">
        <f t="shared" si="2"/>
        <v>Oct</v>
      </c>
      <c r="X54">
        <f t="shared" si="3"/>
        <v>2018</v>
      </c>
      <c r="Y54">
        <f t="shared" ca="1" si="4"/>
        <v>7</v>
      </c>
      <c r="Z54" t="str" cm="1">
        <f t="array" ref="Z54">_xlfn.IFS(G54&lt;30,"20-29",G54&lt;40,"30-39",G54&lt;50,"40-49",G54&gt;=50,"50+")</f>
        <v>50+</v>
      </c>
      <c r="AA54" t="str" cm="1">
        <f t="array" ref="AA54">_xlfn.IFS(L54&lt;500000,"Band 1: &lt;5L", L54&lt;1000000,"Band 2: 5-10L", L54&lt;1500000,"Band 3: 10-15L", L54&lt;2000000,"Band 4: 15-20L", L54&gt;=2000000,"Band 5: 20L+")</f>
        <v>Band 2: 5-10L</v>
      </c>
      <c r="AB54" t="str" cm="1">
        <f t="array" ref="AB54">_xlfn.IFS(N54=1,"Poor", N54=2,"Below Average", N54=3,"Average", N54=4,"Good", N54=5,"Excellent")</f>
        <v>Average</v>
      </c>
      <c r="AC54" s="14">
        <f t="shared" si="5"/>
        <v>26640.940500000001</v>
      </c>
      <c r="AD54" t="str" cm="1">
        <f t="array" ref="AD54">_xlfn.IFS(K54&lt;2,"Junior (0-2 yrs)", K54&lt;5,"Mid-Level (2-5 yrs)", K54&lt;10,"Senior (5-10 yrs)", K54&gt;=10,"Expert (10+ yrs)")</f>
        <v>Expert (10+ yrs)</v>
      </c>
    </row>
    <row r="55" spans="1:30" x14ac:dyDescent="0.3">
      <c r="A55" s="1" t="s">
        <v>495</v>
      </c>
      <c r="B55" s="1" t="s">
        <v>496</v>
      </c>
      <c r="C55" s="1" t="s">
        <v>69</v>
      </c>
      <c r="D55" s="1" t="s">
        <v>244</v>
      </c>
      <c r="E55" s="1" t="s">
        <v>175</v>
      </c>
      <c r="F55" s="1" t="s">
        <v>37</v>
      </c>
      <c r="G55" s="1">
        <v>48</v>
      </c>
      <c r="H55" s="1" t="s">
        <v>84</v>
      </c>
      <c r="I55" s="1" t="s">
        <v>51</v>
      </c>
      <c r="J55" s="5">
        <v>41387</v>
      </c>
      <c r="K55" s="8">
        <v>29.3</v>
      </c>
      <c r="L55" s="11">
        <v>2273392</v>
      </c>
      <c r="M55" s="12">
        <v>0.15909999999999999</v>
      </c>
      <c r="N55" s="7">
        <v>4</v>
      </c>
      <c r="O55" s="1" t="s">
        <v>76</v>
      </c>
      <c r="P55" s="1">
        <v>9684237577</v>
      </c>
      <c r="Q55" s="1" t="s">
        <v>2528</v>
      </c>
      <c r="R55" s="10">
        <v>44</v>
      </c>
      <c r="S55" s="10">
        <v>118</v>
      </c>
      <c r="T55" s="1" t="s">
        <v>235</v>
      </c>
      <c r="U55" t="str">
        <f t="shared" si="0"/>
        <v>Invalid</v>
      </c>
      <c r="V55">
        <f t="shared" si="1"/>
        <v>4</v>
      </c>
      <c r="W55" t="str">
        <f t="shared" si="2"/>
        <v>Apr</v>
      </c>
      <c r="X55">
        <f t="shared" si="3"/>
        <v>2013</v>
      </c>
      <c r="Y55">
        <f t="shared" ca="1" si="4"/>
        <v>12</v>
      </c>
      <c r="Z55" t="str" cm="1">
        <f t="array" ref="Z55">_xlfn.IFS(G55&lt;30,"20-29",G55&lt;40,"30-39",G55&lt;50,"40-49",G55&gt;=50,"50+")</f>
        <v>40-49</v>
      </c>
      <c r="AA55" t="str" cm="1">
        <f t="array" ref="AA55">_xlfn.IFS(L55&lt;500000,"Band 1: &lt;5L", L55&lt;1000000,"Band 2: 5-10L", L55&lt;1500000,"Band 3: 10-15L", L55&lt;2000000,"Band 4: 15-20L", L55&gt;=2000000,"Band 5: 20L+")</f>
        <v>Band 5: 20L+</v>
      </c>
      <c r="AB55" t="str" cm="1">
        <f t="array" ref="AB55">_xlfn.IFS(N55=1,"Poor", N55=2,"Below Average", N55=3,"Average", N55=4,"Good", N55=5,"Excellent")</f>
        <v>Good</v>
      </c>
      <c r="AC55" s="14">
        <f t="shared" si="5"/>
        <v>361696.66719999997</v>
      </c>
      <c r="AD55" t="str" cm="1">
        <f t="array" ref="AD55">_xlfn.IFS(K55&lt;2,"Junior (0-2 yrs)", K55&lt;5,"Mid-Level (2-5 yrs)", K55&lt;10,"Senior (5-10 yrs)", K55&gt;=10,"Expert (10+ yrs)")</f>
        <v>Expert (10+ yrs)</v>
      </c>
    </row>
    <row r="56" spans="1:30" x14ac:dyDescent="0.3">
      <c r="A56" s="1" t="s">
        <v>500</v>
      </c>
      <c r="B56" s="1" t="s">
        <v>501</v>
      </c>
      <c r="C56" s="1" t="s">
        <v>46</v>
      </c>
      <c r="D56" s="1" t="s">
        <v>111</v>
      </c>
      <c r="E56" s="1" t="s">
        <v>102</v>
      </c>
      <c r="F56" s="1" t="s">
        <v>93</v>
      </c>
      <c r="G56" s="1">
        <v>24</v>
      </c>
      <c r="H56" s="1" t="s">
        <v>218</v>
      </c>
      <c r="I56" s="1" t="s">
        <v>39</v>
      </c>
      <c r="J56" s="5">
        <v>42314</v>
      </c>
      <c r="K56" s="8">
        <v>9.6999999999999993</v>
      </c>
      <c r="L56" s="11">
        <v>804503</v>
      </c>
      <c r="M56" s="12">
        <v>0.23449999999999999</v>
      </c>
      <c r="N56" s="7">
        <v>3</v>
      </c>
      <c r="O56" s="1" t="s">
        <v>41</v>
      </c>
      <c r="P56" s="1">
        <v>7829614584</v>
      </c>
      <c r="Q56" s="1" t="s">
        <v>2603</v>
      </c>
      <c r="R56" s="10">
        <v>70</v>
      </c>
      <c r="S56" s="10">
        <v>100</v>
      </c>
      <c r="T56" s="1" t="s">
        <v>457</v>
      </c>
      <c r="U56" t="str">
        <f t="shared" si="0"/>
        <v>Invalid</v>
      </c>
      <c r="V56">
        <f t="shared" si="1"/>
        <v>11</v>
      </c>
      <c r="W56" t="str">
        <f t="shared" si="2"/>
        <v>Nov</v>
      </c>
      <c r="X56">
        <f t="shared" si="3"/>
        <v>2015</v>
      </c>
      <c r="Y56">
        <f t="shared" ca="1" si="4"/>
        <v>10</v>
      </c>
      <c r="Z56" t="str" cm="1">
        <f t="array" ref="Z56">_xlfn.IFS(G56&lt;30,"20-29",G56&lt;40,"30-39",G56&lt;50,"40-49",G56&gt;=50,"50+")</f>
        <v>20-29</v>
      </c>
      <c r="AA56" t="str" cm="1">
        <f t="array" ref="AA56">_xlfn.IFS(L56&lt;500000,"Band 1: &lt;5L", L56&lt;1000000,"Band 2: 5-10L", L56&lt;1500000,"Band 3: 10-15L", L56&lt;2000000,"Band 4: 15-20L", L56&gt;=2000000,"Band 5: 20L+")</f>
        <v>Band 2: 5-10L</v>
      </c>
      <c r="AB56" t="str" cm="1">
        <f t="array" ref="AB56">_xlfn.IFS(N56=1,"Poor", N56=2,"Below Average", N56=3,"Average", N56=4,"Good", N56=5,"Excellent")</f>
        <v>Average</v>
      </c>
      <c r="AC56" s="14">
        <f t="shared" si="5"/>
        <v>188655.9535</v>
      </c>
      <c r="AD56" t="str" cm="1">
        <f t="array" ref="AD56">_xlfn.IFS(K56&lt;2,"Junior (0-2 yrs)", K56&lt;5,"Mid-Level (2-5 yrs)", K56&lt;10,"Senior (5-10 yrs)", K56&gt;=10,"Expert (10+ yrs)")</f>
        <v>Senior (5-10 yrs)</v>
      </c>
    </row>
    <row r="57" spans="1:30" x14ac:dyDescent="0.3">
      <c r="A57" s="1" t="s">
        <v>505</v>
      </c>
      <c r="B57" s="1" t="s">
        <v>506</v>
      </c>
      <c r="C57" s="1" t="s">
        <v>110</v>
      </c>
      <c r="D57" s="1" t="s">
        <v>111</v>
      </c>
      <c r="E57" s="1" t="s">
        <v>48</v>
      </c>
      <c r="F57" s="1" t="s">
        <v>93</v>
      </c>
      <c r="G57" s="1">
        <v>40</v>
      </c>
      <c r="H57" s="1" t="s">
        <v>38</v>
      </c>
      <c r="I57" s="1" t="s">
        <v>198</v>
      </c>
      <c r="J57" s="5">
        <v>40196</v>
      </c>
      <c r="K57" s="8">
        <v>21.4</v>
      </c>
      <c r="L57" s="11">
        <v>1052632</v>
      </c>
      <c r="M57" s="12">
        <v>0.1197</v>
      </c>
      <c r="N57" s="7">
        <v>3</v>
      </c>
      <c r="O57" s="1" t="s">
        <v>41</v>
      </c>
      <c r="P57" s="1">
        <v>7440610570</v>
      </c>
      <c r="Q57" s="1" t="s">
        <v>2604</v>
      </c>
      <c r="R57" s="10">
        <v>6</v>
      </c>
      <c r="S57" s="10">
        <v>110</v>
      </c>
      <c r="T57" s="1" t="s">
        <v>510</v>
      </c>
      <c r="U57" t="str">
        <f t="shared" si="0"/>
        <v>Invalid</v>
      </c>
      <c r="V57">
        <f t="shared" si="1"/>
        <v>1</v>
      </c>
      <c r="W57" t="str">
        <f t="shared" si="2"/>
        <v>Jan</v>
      </c>
      <c r="X57">
        <f t="shared" si="3"/>
        <v>2010</v>
      </c>
      <c r="Y57">
        <f t="shared" ca="1" si="4"/>
        <v>16</v>
      </c>
      <c r="Z57" t="str" cm="1">
        <f t="array" ref="Z57">_xlfn.IFS(G57&lt;30,"20-29",G57&lt;40,"30-39",G57&lt;50,"40-49",G57&gt;=50,"50+")</f>
        <v>40-49</v>
      </c>
      <c r="AA57" t="str" cm="1">
        <f t="array" ref="AA57">_xlfn.IFS(L57&lt;500000,"Band 1: &lt;5L", L57&lt;1000000,"Band 2: 5-10L", L57&lt;1500000,"Band 3: 10-15L", L57&lt;2000000,"Band 4: 15-20L", L57&gt;=2000000,"Band 5: 20L+")</f>
        <v>Band 3: 10-15L</v>
      </c>
      <c r="AB57" t="str" cm="1">
        <f t="array" ref="AB57">_xlfn.IFS(N57=1,"Poor", N57=2,"Below Average", N57=3,"Average", N57=4,"Good", N57=5,"Excellent")</f>
        <v>Average</v>
      </c>
      <c r="AC57" s="14">
        <f t="shared" si="5"/>
        <v>126000.05040000001</v>
      </c>
      <c r="AD57" t="str" cm="1">
        <f t="array" ref="AD57">_xlfn.IFS(K57&lt;2,"Junior (0-2 yrs)", K57&lt;5,"Mid-Level (2-5 yrs)", K57&lt;10,"Senior (5-10 yrs)", K57&gt;=10,"Expert (10+ yrs)")</f>
        <v>Expert (10+ yrs)</v>
      </c>
    </row>
    <row r="58" spans="1:30" x14ac:dyDescent="0.3">
      <c r="A58" s="1" t="s">
        <v>511</v>
      </c>
      <c r="B58" s="1" t="s">
        <v>512</v>
      </c>
      <c r="C58" s="1" t="s">
        <v>69</v>
      </c>
      <c r="D58" s="1" t="s">
        <v>83</v>
      </c>
      <c r="E58" s="1" t="s">
        <v>92</v>
      </c>
      <c r="F58" s="1" t="s">
        <v>93</v>
      </c>
      <c r="G58" s="1">
        <v>36</v>
      </c>
      <c r="H58" s="1" t="s">
        <v>218</v>
      </c>
      <c r="I58" s="1" t="s">
        <v>39</v>
      </c>
      <c r="J58" s="5">
        <v>43836</v>
      </c>
      <c r="K58" s="8">
        <v>19.899999999999999</v>
      </c>
      <c r="L58" s="11">
        <v>916150</v>
      </c>
      <c r="M58" s="12">
        <v>0.248</v>
      </c>
      <c r="N58" s="7">
        <v>4</v>
      </c>
      <c r="O58" s="1" t="s">
        <v>76</v>
      </c>
      <c r="P58" s="1">
        <v>9376868089</v>
      </c>
      <c r="Q58" s="1" t="s">
        <v>2605</v>
      </c>
      <c r="R58" s="10">
        <v>2</v>
      </c>
      <c r="S58" s="10">
        <v>109</v>
      </c>
      <c r="T58" s="1" t="s">
        <v>516</v>
      </c>
      <c r="U58" t="str">
        <f t="shared" si="0"/>
        <v>Valid</v>
      </c>
      <c r="V58">
        <f t="shared" si="1"/>
        <v>1</v>
      </c>
      <c r="W58" t="str">
        <f t="shared" si="2"/>
        <v>Jan</v>
      </c>
      <c r="X58">
        <f t="shared" si="3"/>
        <v>2020</v>
      </c>
      <c r="Y58">
        <f t="shared" ca="1" si="4"/>
        <v>6</v>
      </c>
      <c r="Z58" t="str" cm="1">
        <f t="array" ref="Z58">_xlfn.IFS(G58&lt;30,"20-29",G58&lt;40,"30-39",G58&lt;50,"40-49",G58&gt;=50,"50+")</f>
        <v>30-39</v>
      </c>
      <c r="AA58" t="str" cm="1">
        <f t="array" ref="AA58">_xlfn.IFS(L58&lt;500000,"Band 1: &lt;5L", L58&lt;1000000,"Band 2: 5-10L", L58&lt;1500000,"Band 3: 10-15L", L58&lt;2000000,"Band 4: 15-20L", L58&gt;=2000000,"Band 5: 20L+")</f>
        <v>Band 2: 5-10L</v>
      </c>
      <c r="AB58" t="str" cm="1">
        <f t="array" ref="AB58">_xlfn.IFS(N58=1,"Poor", N58=2,"Below Average", N58=3,"Average", N58=4,"Good", N58=5,"Excellent")</f>
        <v>Good</v>
      </c>
      <c r="AC58" s="14">
        <f t="shared" si="5"/>
        <v>227205.2</v>
      </c>
      <c r="AD58" t="str" cm="1">
        <f t="array" ref="AD58">_xlfn.IFS(K58&lt;2,"Junior (0-2 yrs)", K58&lt;5,"Mid-Level (2-5 yrs)", K58&lt;10,"Senior (5-10 yrs)", K58&gt;=10,"Expert (10+ yrs)")</f>
        <v>Expert (10+ yrs)</v>
      </c>
    </row>
    <row r="59" spans="1:30" x14ac:dyDescent="0.3">
      <c r="A59" s="1" t="s">
        <v>517</v>
      </c>
      <c r="B59" s="1" t="s">
        <v>518</v>
      </c>
      <c r="C59" s="1" t="s">
        <v>110</v>
      </c>
      <c r="D59" s="1" t="s">
        <v>23</v>
      </c>
      <c r="E59" s="1" t="s">
        <v>290</v>
      </c>
      <c r="F59" s="1" t="s">
        <v>93</v>
      </c>
      <c r="G59" s="1">
        <v>22</v>
      </c>
      <c r="H59" s="1" t="s">
        <v>84</v>
      </c>
      <c r="I59" s="1" t="s">
        <v>74</v>
      </c>
      <c r="J59" s="5">
        <v>45365</v>
      </c>
      <c r="K59" s="8">
        <v>6.2</v>
      </c>
      <c r="L59" s="11">
        <v>1115764</v>
      </c>
      <c r="M59" s="12">
        <v>6.6400000000000001E-2</v>
      </c>
      <c r="N59" s="7">
        <v>5</v>
      </c>
      <c r="O59" s="1" t="s">
        <v>41</v>
      </c>
      <c r="P59" s="1">
        <v>7002435157</v>
      </c>
      <c r="Q59" s="1" t="s">
        <v>2606</v>
      </c>
      <c r="R59" s="10">
        <v>8</v>
      </c>
      <c r="S59" s="10">
        <v>117</v>
      </c>
      <c r="T59" s="1" t="s">
        <v>522</v>
      </c>
      <c r="U59" t="str">
        <f t="shared" si="0"/>
        <v>Valid</v>
      </c>
      <c r="V59">
        <f t="shared" si="1"/>
        <v>3</v>
      </c>
      <c r="W59" t="str">
        <f t="shared" si="2"/>
        <v>Mar</v>
      </c>
      <c r="X59">
        <f t="shared" si="3"/>
        <v>2024</v>
      </c>
      <c r="Y59">
        <f t="shared" ca="1" si="4"/>
        <v>2</v>
      </c>
      <c r="Z59" t="str" cm="1">
        <f t="array" ref="Z59">_xlfn.IFS(G59&lt;30,"20-29",G59&lt;40,"30-39",G59&lt;50,"40-49",G59&gt;=50,"50+")</f>
        <v>20-29</v>
      </c>
      <c r="AA59" t="str" cm="1">
        <f t="array" ref="AA59">_xlfn.IFS(L59&lt;500000,"Band 1: &lt;5L", L59&lt;1000000,"Band 2: 5-10L", L59&lt;1500000,"Band 3: 10-15L", L59&lt;2000000,"Band 4: 15-20L", L59&gt;=2000000,"Band 5: 20L+")</f>
        <v>Band 3: 10-15L</v>
      </c>
      <c r="AB59" t="str" cm="1">
        <f t="array" ref="AB59">_xlfn.IFS(N59=1,"Poor", N59=2,"Below Average", N59=3,"Average", N59=4,"Good", N59=5,"Excellent")</f>
        <v>Excellent</v>
      </c>
      <c r="AC59" s="14">
        <f t="shared" si="5"/>
        <v>74086.729600000006</v>
      </c>
      <c r="AD59" t="str" cm="1">
        <f t="array" ref="AD59">_xlfn.IFS(K59&lt;2,"Junior (0-2 yrs)", K59&lt;5,"Mid-Level (2-5 yrs)", K59&lt;10,"Senior (5-10 yrs)", K59&gt;=10,"Expert (10+ yrs)")</f>
        <v>Senior (5-10 yrs)</v>
      </c>
    </row>
    <row r="60" spans="1:30" x14ac:dyDescent="0.3">
      <c r="A60" s="1" t="s">
        <v>523</v>
      </c>
      <c r="B60" s="1" t="s">
        <v>524</v>
      </c>
      <c r="C60" s="1" t="s">
        <v>46</v>
      </c>
      <c r="D60" s="1" t="s">
        <v>244</v>
      </c>
      <c r="E60" s="1" t="s">
        <v>102</v>
      </c>
      <c r="F60" s="1" t="s">
        <v>93</v>
      </c>
      <c r="G60" s="1">
        <v>34</v>
      </c>
      <c r="H60" s="1" t="s">
        <v>26</v>
      </c>
      <c r="I60" s="1" t="s">
        <v>74</v>
      </c>
      <c r="J60" s="5">
        <v>43057</v>
      </c>
      <c r="K60" s="8">
        <v>28</v>
      </c>
      <c r="L60" s="11">
        <v>528121</v>
      </c>
      <c r="M60" s="12">
        <v>0.1678</v>
      </c>
      <c r="N60" s="7">
        <v>2</v>
      </c>
      <c r="O60" s="1" t="s">
        <v>41</v>
      </c>
      <c r="P60" s="1">
        <v>9493639344</v>
      </c>
      <c r="Q60" s="1" t="s">
        <v>2529</v>
      </c>
      <c r="R60" s="10">
        <v>36</v>
      </c>
      <c r="S60" s="10">
        <v>115</v>
      </c>
      <c r="T60" s="1" t="s">
        <v>235</v>
      </c>
      <c r="U60" t="str">
        <f t="shared" si="0"/>
        <v>Invalid</v>
      </c>
      <c r="V60">
        <f t="shared" si="1"/>
        <v>11</v>
      </c>
      <c r="W60" t="str">
        <f t="shared" si="2"/>
        <v>Nov</v>
      </c>
      <c r="X60">
        <f t="shared" si="3"/>
        <v>2017</v>
      </c>
      <c r="Y60">
        <f t="shared" ca="1" si="4"/>
        <v>8</v>
      </c>
      <c r="Z60" t="str" cm="1">
        <f t="array" ref="Z60">_xlfn.IFS(G60&lt;30,"20-29",G60&lt;40,"30-39",G60&lt;50,"40-49",G60&gt;=50,"50+")</f>
        <v>30-39</v>
      </c>
      <c r="AA60" t="str" cm="1">
        <f t="array" ref="AA60">_xlfn.IFS(L60&lt;500000,"Band 1: &lt;5L", L60&lt;1000000,"Band 2: 5-10L", L60&lt;1500000,"Band 3: 10-15L", L60&lt;2000000,"Band 4: 15-20L", L60&gt;=2000000,"Band 5: 20L+")</f>
        <v>Band 2: 5-10L</v>
      </c>
      <c r="AB60" t="str" cm="1">
        <f t="array" ref="AB60">_xlfn.IFS(N60=1,"Poor", N60=2,"Below Average", N60=3,"Average", N60=4,"Good", N60=5,"Excellent")</f>
        <v>Below Average</v>
      </c>
      <c r="AC60" s="14">
        <f t="shared" si="5"/>
        <v>88618.703800000003</v>
      </c>
      <c r="AD60" t="str" cm="1">
        <f t="array" ref="AD60">_xlfn.IFS(K60&lt;2,"Junior (0-2 yrs)", K60&lt;5,"Mid-Level (2-5 yrs)", K60&lt;10,"Senior (5-10 yrs)", K60&gt;=10,"Expert (10+ yrs)")</f>
        <v>Expert (10+ yrs)</v>
      </c>
    </row>
    <row r="61" spans="1:30" x14ac:dyDescent="0.3">
      <c r="A61" s="1" t="s">
        <v>528</v>
      </c>
      <c r="B61" s="1" t="s">
        <v>529</v>
      </c>
      <c r="C61" s="1" t="s">
        <v>69</v>
      </c>
      <c r="D61" s="1" t="s">
        <v>101</v>
      </c>
      <c r="E61" s="1" t="s">
        <v>71</v>
      </c>
      <c r="F61" s="1" t="s">
        <v>93</v>
      </c>
      <c r="G61" s="1">
        <v>47</v>
      </c>
      <c r="H61" s="1" t="s">
        <v>26</v>
      </c>
      <c r="I61" s="1" t="s">
        <v>198</v>
      </c>
      <c r="J61" s="5">
        <v>42408</v>
      </c>
      <c r="K61" s="8">
        <v>23.9</v>
      </c>
      <c r="L61" s="11">
        <v>528879</v>
      </c>
      <c r="M61" s="12">
        <v>0.2097</v>
      </c>
      <c r="N61" s="7">
        <v>5</v>
      </c>
      <c r="O61" s="1" t="s">
        <v>76</v>
      </c>
      <c r="P61" s="1">
        <v>8550904983</v>
      </c>
      <c r="Q61" s="1" t="s">
        <v>2607</v>
      </c>
      <c r="R61" s="10">
        <v>69</v>
      </c>
      <c r="S61" s="10">
        <v>97</v>
      </c>
      <c r="T61" s="1" t="s">
        <v>66</v>
      </c>
      <c r="U61" t="str">
        <f t="shared" si="0"/>
        <v>Valid</v>
      </c>
      <c r="V61">
        <f t="shared" si="1"/>
        <v>2</v>
      </c>
      <c r="W61" t="str">
        <f t="shared" si="2"/>
        <v>Feb</v>
      </c>
      <c r="X61">
        <f t="shared" si="3"/>
        <v>2016</v>
      </c>
      <c r="Y61">
        <f t="shared" ca="1" si="4"/>
        <v>10</v>
      </c>
      <c r="Z61" t="str" cm="1">
        <f t="array" ref="Z61">_xlfn.IFS(G61&lt;30,"20-29",G61&lt;40,"30-39",G61&lt;50,"40-49",G61&gt;=50,"50+")</f>
        <v>40-49</v>
      </c>
      <c r="AA61" t="str" cm="1">
        <f t="array" ref="AA61">_xlfn.IFS(L61&lt;500000,"Band 1: &lt;5L", L61&lt;1000000,"Band 2: 5-10L", L61&lt;1500000,"Band 3: 10-15L", L61&lt;2000000,"Band 4: 15-20L", L61&gt;=2000000,"Band 5: 20L+")</f>
        <v>Band 2: 5-10L</v>
      </c>
      <c r="AB61" t="str" cm="1">
        <f t="array" ref="AB61">_xlfn.IFS(N61=1,"Poor", N61=2,"Below Average", N61=3,"Average", N61=4,"Good", N61=5,"Excellent")</f>
        <v>Excellent</v>
      </c>
      <c r="AC61" s="14">
        <f t="shared" si="5"/>
        <v>110905.92629999999</v>
      </c>
      <c r="AD61" t="str" cm="1">
        <f t="array" ref="AD61">_xlfn.IFS(K61&lt;2,"Junior (0-2 yrs)", K61&lt;5,"Mid-Level (2-5 yrs)", K61&lt;10,"Senior (5-10 yrs)", K61&gt;=10,"Expert (10+ yrs)")</f>
        <v>Expert (10+ yrs)</v>
      </c>
    </row>
    <row r="62" spans="1:30" x14ac:dyDescent="0.3">
      <c r="A62" s="1" t="s">
        <v>533</v>
      </c>
      <c r="B62" s="1" t="s">
        <v>534</v>
      </c>
      <c r="C62" s="1" t="s">
        <v>132</v>
      </c>
      <c r="D62" s="1" t="s">
        <v>23</v>
      </c>
      <c r="E62" s="1" t="s">
        <v>24</v>
      </c>
      <c r="F62" s="1" t="s">
        <v>37</v>
      </c>
      <c r="G62" s="1">
        <v>24</v>
      </c>
      <c r="H62" s="1" t="s">
        <v>218</v>
      </c>
      <c r="I62" s="1" t="s">
        <v>27</v>
      </c>
      <c r="J62" s="5">
        <v>40586</v>
      </c>
      <c r="K62" s="8">
        <v>4</v>
      </c>
      <c r="L62" s="11">
        <v>1849090</v>
      </c>
      <c r="M62" s="12">
        <v>0.1215</v>
      </c>
      <c r="N62" s="7">
        <v>1</v>
      </c>
      <c r="O62" s="1" t="s">
        <v>41</v>
      </c>
      <c r="P62" s="1">
        <v>8595440130</v>
      </c>
      <c r="Q62" s="1" t="s">
        <v>2608</v>
      </c>
      <c r="R62" s="10">
        <v>18</v>
      </c>
      <c r="S62" s="10">
        <v>53</v>
      </c>
      <c r="T62" s="1" t="s">
        <v>288</v>
      </c>
      <c r="U62" t="str">
        <f t="shared" si="0"/>
        <v>Valid</v>
      </c>
      <c r="V62">
        <f t="shared" si="1"/>
        <v>2</v>
      </c>
      <c r="W62" t="str">
        <f t="shared" si="2"/>
        <v>Feb</v>
      </c>
      <c r="X62">
        <f t="shared" si="3"/>
        <v>2011</v>
      </c>
      <c r="Y62">
        <f t="shared" ca="1" si="4"/>
        <v>15</v>
      </c>
      <c r="Z62" t="str" cm="1">
        <f t="array" ref="Z62">_xlfn.IFS(G62&lt;30,"20-29",G62&lt;40,"30-39",G62&lt;50,"40-49",G62&gt;=50,"50+")</f>
        <v>20-29</v>
      </c>
      <c r="AA62" t="str" cm="1">
        <f t="array" ref="AA62">_xlfn.IFS(L62&lt;500000,"Band 1: &lt;5L", L62&lt;1000000,"Band 2: 5-10L", L62&lt;1500000,"Band 3: 10-15L", L62&lt;2000000,"Band 4: 15-20L", L62&gt;=2000000,"Band 5: 20L+")</f>
        <v>Band 4: 15-20L</v>
      </c>
      <c r="AB62" t="str" cm="1">
        <f t="array" ref="AB62">_xlfn.IFS(N62=1,"Poor", N62=2,"Below Average", N62=3,"Average", N62=4,"Good", N62=5,"Excellent")</f>
        <v>Poor</v>
      </c>
      <c r="AC62" s="14">
        <f t="shared" si="5"/>
        <v>224664.435</v>
      </c>
      <c r="AD62" t="str" cm="1">
        <f t="array" ref="AD62">_xlfn.IFS(K62&lt;2,"Junior (0-2 yrs)", K62&lt;5,"Mid-Level (2-5 yrs)", K62&lt;10,"Senior (5-10 yrs)", K62&gt;=10,"Expert (10+ yrs)")</f>
        <v>Mid-Level (2-5 yrs)</v>
      </c>
    </row>
    <row r="63" spans="1:30" x14ac:dyDescent="0.3">
      <c r="A63" s="1" t="s">
        <v>538</v>
      </c>
      <c r="B63" s="1" t="s">
        <v>2512</v>
      </c>
      <c r="C63" s="1" t="s">
        <v>197</v>
      </c>
      <c r="D63" s="1" t="s">
        <v>23</v>
      </c>
      <c r="E63" s="1" t="s">
        <v>92</v>
      </c>
      <c r="F63" s="1" t="s">
        <v>37</v>
      </c>
      <c r="G63" s="1">
        <v>29</v>
      </c>
      <c r="H63" s="1" t="s">
        <v>50</v>
      </c>
      <c r="I63" s="1" t="s">
        <v>27</v>
      </c>
      <c r="J63" s="5">
        <v>45590</v>
      </c>
      <c r="K63" s="8">
        <v>20.9</v>
      </c>
      <c r="L63" s="11">
        <v>2363424</v>
      </c>
      <c r="M63" s="12">
        <v>0.10920000000000001</v>
      </c>
      <c r="N63" s="7">
        <v>2</v>
      </c>
      <c r="O63" s="1" t="s">
        <v>76</v>
      </c>
      <c r="P63" s="1">
        <v>8639176435</v>
      </c>
      <c r="Q63" s="1" t="s">
        <v>2609</v>
      </c>
      <c r="R63" s="10">
        <v>33</v>
      </c>
      <c r="S63" s="10">
        <v>11</v>
      </c>
      <c r="T63" s="1" t="s">
        <v>166</v>
      </c>
      <c r="U63" t="str">
        <f t="shared" si="0"/>
        <v>Valid</v>
      </c>
      <c r="V63">
        <f t="shared" si="1"/>
        <v>10</v>
      </c>
      <c r="W63" t="str">
        <f t="shared" si="2"/>
        <v>Oct</v>
      </c>
      <c r="X63">
        <f t="shared" si="3"/>
        <v>2024</v>
      </c>
      <c r="Y63">
        <f t="shared" ca="1" si="4"/>
        <v>1</v>
      </c>
      <c r="Z63" t="str" cm="1">
        <f t="array" ref="Z63">_xlfn.IFS(G63&lt;30,"20-29",G63&lt;40,"30-39",G63&lt;50,"40-49",G63&gt;=50,"50+")</f>
        <v>20-29</v>
      </c>
      <c r="AA63" t="str" cm="1">
        <f t="array" ref="AA63">_xlfn.IFS(L63&lt;500000,"Band 1: &lt;5L", L63&lt;1000000,"Band 2: 5-10L", L63&lt;1500000,"Band 3: 10-15L", L63&lt;2000000,"Band 4: 15-20L", L63&gt;=2000000,"Band 5: 20L+")</f>
        <v>Band 5: 20L+</v>
      </c>
      <c r="AB63" t="str" cm="1">
        <f t="array" ref="AB63">_xlfn.IFS(N63=1,"Poor", N63=2,"Below Average", N63=3,"Average", N63=4,"Good", N63=5,"Excellent")</f>
        <v>Below Average</v>
      </c>
      <c r="AC63" s="14">
        <f t="shared" si="5"/>
        <v>258085.9008</v>
      </c>
      <c r="AD63" t="str" cm="1">
        <f t="array" ref="AD63">_xlfn.IFS(K63&lt;2,"Junior (0-2 yrs)", K63&lt;5,"Mid-Level (2-5 yrs)", K63&lt;10,"Senior (5-10 yrs)", K63&gt;=10,"Expert (10+ yrs)")</f>
        <v>Expert (10+ yrs)</v>
      </c>
    </row>
    <row r="64" spans="1:30" x14ac:dyDescent="0.3">
      <c r="A64" s="1" t="s">
        <v>543</v>
      </c>
      <c r="B64" s="1" t="s">
        <v>544</v>
      </c>
      <c r="C64" s="1" t="s">
        <v>197</v>
      </c>
      <c r="D64" s="1" t="s">
        <v>83</v>
      </c>
      <c r="E64" s="1" t="s">
        <v>102</v>
      </c>
      <c r="F64" s="1" t="s">
        <v>37</v>
      </c>
      <c r="G64" s="1">
        <v>29</v>
      </c>
      <c r="H64" s="1" t="s">
        <v>38</v>
      </c>
      <c r="I64" s="1" t="s">
        <v>39</v>
      </c>
      <c r="J64" s="5">
        <v>42658</v>
      </c>
      <c r="K64" s="8">
        <v>13</v>
      </c>
      <c r="L64" s="11">
        <v>971013</v>
      </c>
      <c r="M64" s="12">
        <v>0.18770000000000001</v>
      </c>
      <c r="N64" s="7">
        <v>4</v>
      </c>
      <c r="O64" s="1" t="s">
        <v>76</v>
      </c>
      <c r="P64" s="1">
        <v>9921794983</v>
      </c>
      <c r="Q64" s="1" t="s">
        <v>2610</v>
      </c>
      <c r="R64" s="10">
        <v>43</v>
      </c>
      <c r="S64" s="10">
        <v>55</v>
      </c>
      <c r="T64" s="1" t="s">
        <v>548</v>
      </c>
      <c r="U64" t="str">
        <f t="shared" si="0"/>
        <v>Valid</v>
      </c>
      <c r="V64">
        <f t="shared" si="1"/>
        <v>10</v>
      </c>
      <c r="W64" t="str">
        <f t="shared" si="2"/>
        <v>Oct</v>
      </c>
      <c r="X64">
        <f t="shared" si="3"/>
        <v>2016</v>
      </c>
      <c r="Y64">
        <f t="shared" ca="1" si="4"/>
        <v>9</v>
      </c>
      <c r="Z64" t="str" cm="1">
        <f t="array" ref="Z64">_xlfn.IFS(G64&lt;30,"20-29",G64&lt;40,"30-39",G64&lt;50,"40-49",G64&gt;=50,"50+")</f>
        <v>20-29</v>
      </c>
      <c r="AA64" t="str" cm="1">
        <f t="array" ref="AA64">_xlfn.IFS(L64&lt;500000,"Band 1: &lt;5L", L64&lt;1000000,"Band 2: 5-10L", L64&lt;1500000,"Band 3: 10-15L", L64&lt;2000000,"Band 4: 15-20L", L64&gt;=2000000,"Band 5: 20L+")</f>
        <v>Band 2: 5-10L</v>
      </c>
      <c r="AB64" t="str" cm="1">
        <f t="array" ref="AB64">_xlfn.IFS(N64=1,"Poor", N64=2,"Below Average", N64=3,"Average", N64=4,"Good", N64=5,"Excellent")</f>
        <v>Good</v>
      </c>
      <c r="AC64" s="14">
        <f t="shared" si="5"/>
        <v>182259.14010000002</v>
      </c>
      <c r="AD64" t="str" cm="1">
        <f t="array" ref="AD64">_xlfn.IFS(K64&lt;2,"Junior (0-2 yrs)", K64&lt;5,"Mid-Level (2-5 yrs)", K64&lt;10,"Senior (5-10 yrs)", K64&gt;=10,"Expert (10+ yrs)")</f>
        <v>Expert (10+ yrs)</v>
      </c>
    </row>
    <row r="65" spans="1:30" x14ac:dyDescent="0.3">
      <c r="A65" s="1" t="s">
        <v>549</v>
      </c>
      <c r="B65" s="1" t="s">
        <v>550</v>
      </c>
      <c r="C65" s="1" t="s">
        <v>58</v>
      </c>
      <c r="D65" s="1" t="s">
        <v>244</v>
      </c>
      <c r="E65" s="1" t="s">
        <v>60</v>
      </c>
      <c r="F65" s="1" t="s">
        <v>37</v>
      </c>
      <c r="G65" s="1">
        <v>48</v>
      </c>
      <c r="H65" s="1" t="s">
        <v>38</v>
      </c>
      <c r="I65" s="1" t="s">
        <v>198</v>
      </c>
      <c r="J65" s="5">
        <v>40364</v>
      </c>
      <c r="K65" s="8">
        <v>2.7</v>
      </c>
      <c r="L65" s="11">
        <v>1875096</v>
      </c>
      <c r="M65" s="12">
        <v>8.9600000000000013E-2</v>
      </c>
      <c r="N65" s="7">
        <v>5</v>
      </c>
      <c r="O65" s="1" t="s">
        <v>76</v>
      </c>
      <c r="P65" s="1">
        <v>8604106208</v>
      </c>
      <c r="Q65" s="1" t="s">
        <v>2530</v>
      </c>
      <c r="R65" s="10">
        <v>42</v>
      </c>
      <c r="S65" s="10">
        <v>88</v>
      </c>
      <c r="T65" s="1" t="s">
        <v>354</v>
      </c>
      <c r="U65" t="str">
        <f t="shared" si="0"/>
        <v>Invalid</v>
      </c>
      <c r="V65">
        <f t="shared" si="1"/>
        <v>7</v>
      </c>
      <c r="W65" t="str">
        <f t="shared" si="2"/>
        <v>Jul</v>
      </c>
      <c r="X65">
        <f t="shared" si="3"/>
        <v>2010</v>
      </c>
      <c r="Y65">
        <f t="shared" ca="1" si="4"/>
        <v>15</v>
      </c>
      <c r="Z65" t="str" cm="1">
        <f t="array" ref="Z65">_xlfn.IFS(G65&lt;30,"20-29",G65&lt;40,"30-39",G65&lt;50,"40-49",G65&gt;=50,"50+")</f>
        <v>40-49</v>
      </c>
      <c r="AA65" t="str" cm="1">
        <f t="array" ref="AA65">_xlfn.IFS(L65&lt;500000,"Band 1: &lt;5L", L65&lt;1000000,"Band 2: 5-10L", L65&lt;1500000,"Band 3: 10-15L", L65&lt;2000000,"Band 4: 15-20L", L65&gt;=2000000,"Band 5: 20L+")</f>
        <v>Band 4: 15-20L</v>
      </c>
      <c r="AB65" t="str" cm="1">
        <f t="array" ref="AB65">_xlfn.IFS(N65=1,"Poor", N65=2,"Below Average", N65=3,"Average", N65=4,"Good", N65=5,"Excellent")</f>
        <v>Excellent</v>
      </c>
      <c r="AC65" s="14">
        <f t="shared" si="5"/>
        <v>168008.60160000002</v>
      </c>
      <c r="AD65" t="str" cm="1">
        <f t="array" ref="AD65">_xlfn.IFS(K65&lt;2,"Junior (0-2 yrs)", K65&lt;5,"Mid-Level (2-5 yrs)", K65&lt;10,"Senior (5-10 yrs)", K65&gt;=10,"Expert (10+ yrs)")</f>
        <v>Mid-Level (2-5 yrs)</v>
      </c>
    </row>
    <row r="66" spans="1:30" x14ac:dyDescent="0.3">
      <c r="A66" s="1" t="s">
        <v>554</v>
      </c>
      <c r="B66" s="1" t="s">
        <v>555</v>
      </c>
      <c r="C66" s="1" t="s">
        <v>132</v>
      </c>
      <c r="D66" s="1" t="s">
        <v>101</v>
      </c>
      <c r="E66" s="1" t="s">
        <v>60</v>
      </c>
      <c r="F66" s="1" t="s">
        <v>37</v>
      </c>
      <c r="G66" s="1">
        <v>40</v>
      </c>
      <c r="H66" s="1" t="s">
        <v>218</v>
      </c>
      <c r="I66" s="1" t="s">
        <v>39</v>
      </c>
      <c r="J66" s="5">
        <v>44822</v>
      </c>
      <c r="K66" s="8">
        <v>2.9</v>
      </c>
      <c r="L66" s="11">
        <v>1107455</v>
      </c>
      <c r="M66" s="12">
        <v>0.2072</v>
      </c>
      <c r="N66" s="7">
        <v>4</v>
      </c>
      <c r="O66" s="1" t="s">
        <v>41</v>
      </c>
      <c r="P66" s="1">
        <v>9943792834</v>
      </c>
      <c r="Q66" s="1" t="s">
        <v>2611</v>
      </c>
      <c r="R66" s="10">
        <v>55</v>
      </c>
      <c r="S66" s="10">
        <v>120</v>
      </c>
      <c r="T66" s="1" t="s">
        <v>559</v>
      </c>
      <c r="U66" t="str">
        <f t="shared" ref="U66:U129" si="6">IF(AND(ISNUMBER(FIND("@",Q66)),ISNUMBER(FIND(".",Q66))),
"Valid","Invalid")</f>
        <v>Invalid</v>
      </c>
      <c r="V66">
        <f t="shared" si="1"/>
        <v>9</v>
      </c>
      <c r="W66" t="str">
        <f t="shared" si="2"/>
        <v>Sep</v>
      </c>
      <c r="X66">
        <f t="shared" si="3"/>
        <v>2022</v>
      </c>
      <c r="Y66">
        <f t="shared" ca="1" si="4"/>
        <v>3</v>
      </c>
      <c r="Z66" t="str" cm="1">
        <f t="array" ref="Z66">_xlfn.IFS(G66&lt;30,"20-29",G66&lt;40,"30-39",G66&lt;50,"40-49",G66&gt;=50,"50+")</f>
        <v>40-49</v>
      </c>
      <c r="AA66" t="str" cm="1">
        <f t="array" ref="AA66">_xlfn.IFS(L66&lt;500000,"Band 1: &lt;5L", L66&lt;1000000,"Band 2: 5-10L", L66&lt;1500000,"Band 3: 10-15L", L66&lt;2000000,"Band 4: 15-20L", L66&gt;=2000000,"Band 5: 20L+")</f>
        <v>Band 3: 10-15L</v>
      </c>
      <c r="AB66" t="str" cm="1">
        <f t="array" ref="AB66">_xlfn.IFS(N66=1,"Poor", N66=2,"Below Average", N66=3,"Average", N66=4,"Good", N66=5,"Excellent")</f>
        <v>Good</v>
      </c>
      <c r="AC66" s="14">
        <f t="shared" si="5"/>
        <v>229464.67600000001</v>
      </c>
      <c r="AD66" t="str" cm="1">
        <f t="array" ref="AD66">_xlfn.IFS(K66&lt;2,"Junior (0-2 yrs)", K66&lt;5,"Mid-Level (2-5 yrs)", K66&lt;10,"Senior (5-10 yrs)", K66&gt;=10,"Expert (10+ yrs)")</f>
        <v>Mid-Level (2-5 yrs)</v>
      </c>
    </row>
    <row r="67" spans="1:30" x14ac:dyDescent="0.3">
      <c r="A67" s="1" t="s">
        <v>560</v>
      </c>
      <c r="B67" s="1" t="s">
        <v>561</v>
      </c>
      <c r="C67" s="1" t="s">
        <v>58</v>
      </c>
      <c r="D67" s="1" t="s">
        <v>244</v>
      </c>
      <c r="E67" s="1" t="s">
        <v>155</v>
      </c>
      <c r="F67" s="1" t="s">
        <v>37</v>
      </c>
      <c r="G67" s="1">
        <v>49</v>
      </c>
      <c r="H67" s="1" t="s">
        <v>62</v>
      </c>
      <c r="I67" s="1" t="s">
        <v>39</v>
      </c>
      <c r="J67" s="5">
        <v>45239</v>
      </c>
      <c r="K67" s="8">
        <v>19.100000000000001</v>
      </c>
      <c r="L67" s="11">
        <v>829867</v>
      </c>
      <c r="M67" s="12">
        <v>6.9999999999999993E-3</v>
      </c>
      <c r="N67" s="7">
        <v>3</v>
      </c>
      <c r="O67" s="1" t="s">
        <v>41</v>
      </c>
      <c r="P67" s="1">
        <v>7400524723</v>
      </c>
      <c r="Q67" s="1" t="s">
        <v>2612</v>
      </c>
      <c r="R67" s="10">
        <v>10</v>
      </c>
      <c r="S67" s="10">
        <v>3</v>
      </c>
      <c r="T67" s="1" t="s">
        <v>43</v>
      </c>
      <c r="U67" t="str">
        <f t="shared" si="6"/>
        <v>Valid</v>
      </c>
      <c r="V67">
        <f t="shared" ref="V67:V130" si="7">MONTH(J67)</f>
        <v>11</v>
      </c>
      <c r="W67" t="str">
        <f t="shared" ref="W67:W130" si="8">TEXT(J67, "MMM")</f>
        <v>Nov</v>
      </c>
      <c r="X67">
        <f t="shared" ref="X67:X130" si="9">YEAR(J67)</f>
        <v>2023</v>
      </c>
      <c r="Y67">
        <f t="shared" ref="Y67:Y130" ca="1" si="10">DATEDIF(J67,TODAY(), "Y")</f>
        <v>2</v>
      </c>
      <c r="Z67" t="str" cm="1">
        <f t="array" ref="Z67">_xlfn.IFS(G67&lt;30,"20-29",G67&lt;40,"30-39",G67&lt;50,"40-49",G67&gt;=50,"50+")</f>
        <v>40-49</v>
      </c>
      <c r="AA67" t="str" cm="1">
        <f t="array" ref="AA67">_xlfn.IFS(L67&lt;500000,"Band 1: &lt;5L", L67&lt;1000000,"Band 2: 5-10L", L67&lt;1500000,"Band 3: 10-15L", L67&lt;2000000,"Band 4: 15-20L", L67&gt;=2000000,"Band 5: 20L+")</f>
        <v>Band 2: 5-10L</v>
      </c>
      <c r="AB67" t="str" cm="1">
        <f t="array" ref="AB67">_xlfn.IFS(N67=1,"Poor", N67=2,"Below Average", N67=3,"Average", N67=4,"Good", N67=5,"Excellent")</f>
        <v>Average</v>
      </c>
      <c r="AC67" s="14">
        <f t="shared" ref="AC67:AC130" si="11">L67*M67</f>
        <v>5809.0689999999995</v>
      </c>
      <c r="AD67" t="str" cm="1">
        <f t="array" ref="AD67">_xlfn.IFS(K67&lt;2,"Junior (0-2 yrs)", K67&lt;5,"Mid-Level (2-5 yrs)", K67&lt;10,"Senior (5-10 yrs)", K67&gt;=10,"Expert (10+ yrs)")</f>
        <v>Expert (10+ yrs)</v>
      </c>
    </row>
    <row r="68" spans="1:30" x14ac:dyDescent="0.3">
      <c r="A68" s="1" t="s">
        <v>516</v>
      </c>
      <c r="B68" s="1" t="s">
        <v>564</v>
      </c>
      <c r="C68" s="1" t="s">
        <v>69</v>
      </c>
      <c r="D68" s="1" t="s">
        <v>83</v>
      </c>
      <c r="E68" s="1" t="s">
        <v>36</v>
      </c>
      <c r="F68" s="1" t="s">
        <v>37</v>
      </c>
      <c r="G68" s="1">
        <v>45</v>
      </c>
      <c r="H68" s="1" t="s">
        <v>218</v>
      </c>
      <c r="I68" s="1" t="s">
        <v>39</v>
      </c>
      <c r="J68" s="5">
        <v>40503</v>
      </c>
      <c r="K68" s="8">
        <v>23.3</v>
      </c>
      <c r="L68" s="11">
        <v>1486541</v>
      </c>
      <c r="M68" s="12">
        <v>0.1507</v>
      </c>
      <c r="N68" s="7">
        <v>3</v>
      </c>
      <c r="O68" s="1" t="s">
        <v>76</v>
      </c>
      <c r="P68" s="1">
        <v>8220401982</v>
      </c>
      <c r="Q68" s="1" t="s">
        <v>2613</v>
      </c>
      <c r="R68" s="10">
        <v>10</v>
      </c>
      <c r="S68" s="10">
        <v>18</v>
      </c>
      <c r="T68" s="1" t="s">
        <v>568</v>
      </c>
      <c r="U68" t="str">
        <f t="shared" si="6"/>
        <v>Valid</v>
      </c>
      <c r="V68">
        <f t="shared" si="7"/>
        <v>11</v>
      </c>
      <c r="W68" t="str">
        <f t="shared" si="8"/>
        <v>Nov</v>
      </c>
      <c r="X68">
        <f t="shared" si="9"/>
        <v>2010</v>
      </c>
      <c r="Y68">
        <f t="shared" ca="1" si="10"/>
        <v>15</v>
      </c>
      <c r="Z68" t="str" cm="1">
        <f t="array" ref="Z68">_xlfn.IFS(G68&lt;30,"20-29",G68&lt;40,"30-39",G68&lt;50,"40-49",G68&gt;=50,"50+")</f>
        <v>40-49</v>
      </c>
      <c r="AA68" t="str" cm="1">
        <f t="array" ref="AA68">_xlfn.IFS(L68&lt;500000,"Band 1: &lt;5L", L68&lt;1000000,"Band 2: 5-10L", L68&lt;1500000,"Band 3: 10-15L", L68&lt;2000000,"Band 4: 15-20L", L68&gt;=2000000,"Band 5: 20L+")</f>
        <v>Band 3: 10-15L</v>
      </c>
      <c r="AB68" t="str" cm="1">
        <f t="array" ref="AB68">_xlfn.IFS(N68=1,"Poor", N68=2,"Below Average", N68=3,"Average", N68=4,"Good", N68=5,"Excellent")</f>
        <v>Average</v>
      </c>
      <c r="AC68" s="14">
        <f t="shared" si="11"/>
        <v>224021.72870000001</v>
      </c>
      <c r="AD68" t="str" cm="1">
        <f t="array" ref="AD68">_xlfn.IFS(K68&lt;2,"Junior (0-2 yrs)", K68&lt;5,"Mid-Level (2-5 yrs)", K68&lt;10,"Senior (5-10 yrs)", K68&gt;=10,"Expert (10+ yrs)")</f>
        <v>Expert (10+ yrs)</v>
      </c>
    </row>
    <row r="69" spans="1:30" x14ac:dyDescent="0.3">
      <c r="A69" s="1" t="s">
        <v>568</v>
      </c>
      <c r="B69" s="1" t="s">
        <v>569</v>
      </c>
      <c r="C69" s="1" t="s">
        <v>197</v>
      </c>
      <c r="D69" s="1" t="s">
        <v>23</v>
      </c>
      <c r="E69" s="1" t="s">
        <v>24</v>
      </c>
      <c r="F69" s="1" t="s">
        <v>93</v>
      </c>
      <c r="G69" s="1">
        <v>24</v>
      </c>
      <c r="H69" s="1" t="s">
        <v>218</v>
      </c>
      <c r="I69" s="1" t="s">
        <v>27</v>
      </c>
      <c r="J69" s="5">
        <v>43755</v>
      </c>
      <c r="K69" s="8">
        <v>26</v>
      </c>
      <c r="L69" s="11">
        <v>1504088</v>
      </c>
      <c r="M69" s="12">
        <v>8.0399999999999985E-2</v>
      </c>
      <c r="N69" s="7">
        <v>5</v>
      </c>
      <c r="O69" s="1" t="s">
        <v>76</v>
      </c>
      <c r="P69" s="1">
        <v>8931591531</v>
      </c>
      <c r="Q69" s="1" t="s">
        <v>2614</v>
      </c>
      <c r="R69" s="10">
        <v>19</v>
      </c>
      <c r="S69" s="10">
        <v>57</v>
      </c>
      <c r="T69" s="1" t="s">
        <v>573</v>
      </c>
      <c r="U69" t="str">
        <f t="shared" si="6"/>
        <v>Valid</v>
      </c>
      <c r="V69">
        <f t="shared" si="7"/>
        <v>10</v>
      </c>
      <c r="W69" t="str">
        <f t="shared" si="8"/>
        <v>Oct</v>
      </c>
      <c r="X69">
        <f t="shared" si="9"/>
        <v>2019</v>
      </c>
      <c r="Y69">
        <f t="shared" ca="1" si="10"/>
        <v>6</v>
      </c>
      <c r="Z69" t="str" cm="1">
        <f t="array" ref="Z69">_xlfn.IFS(G69&lt;30,"20-29",G69&lt;40,"30-39",G69&lt;50,"40-49",G69&gt;=50,"50+")</f>
        <v>20-29</v>
      </c>
      <c r="AA69" t="str" cm="1">
        <f t="array" ref="AA69">_xlfn.IFS(L69&lt;500000,"Band 1: &lt;5L", L69&lt;1000000,"Band 2: 5-10L", L69&lt;1500000,"Band 3: 10-15L", L69&lt;2000000,"Band 4: 15-20L", L69&gt;=2000000,"Band 5: 20L+")</f>
        <v>Band 4: 15-20L</v>
      </c>
      <c r="AB69" t="str" cm="1">
        <f t="array" ref="AB69">_xlfn.IFS(N69=1,"Poor", N69=2,"Below Average", N69=3,"Average", N69=4,"Good", N69=5,"Excellent")</f>
        <v>Excellent</v>
      </c>
      <c r="AC69" s="14">
        <f t="shared" si="11"/>
        <v>120928.67519999998</v>
      </c>
      <c r="AD69" t="str" cm="1">
        <f t="array" ref="AD69">_xlfn.IFS(K69&lt;2,"Junior (0-2 yrs)", K69&lt;5,"Mid-Level (2-5 yrs)", K69&lt;10,"Senior (5-10 yrs)", K69&gt;=10,"Expert (10+ yrs)")</f>
        <v>Expert (10+ yrs)</v>
      </c>
    </row>
    <row r="70" spans="1:30" x14ac:dyDescent="0.3">
      <c r="A70" s="1" t="s">
        <v>579</v>
      </c>
      <c r="B70" s="1" t="s">
        <v>580</v>
      </c>
      <c r="C70" s="1" t="s">
        <v>197</v>
      </c>
      <c r="D70" s="1" t="s">
        <v>101</v>
      </c>
      <c r="E70" s="1" t="s">
        <v>290</v>
      </c>
      <c r="F70" s="1" t="s">
        <v>37</v>
      </c>
      <c r="G70" s="1">
        <v>27</v>
      </c>
      <c r="H70" s="1" t="s">
        <v>218</v>
      </c>
      <c r="I70" s="1" t="s">
        <v>39</v>
      </c>
      <c r="J70" s="5">
        <v>44789</v>
      </c>
      <c r="K70" s="8">
        <v>9.6999999999999993</v>
      </c>
      <c r="L70" s="11">
        <v>2264091</v>
      </c>
      <c r="M70" s="12">
        <v>0.2293</v>
      </c>
      <c r="N70" s="7">
        <v>4</v>
      </c>
      <c r="O70" s="1" t="s">
        <v>41</v>
      </c>
      <c r="P70" s="1">
        <v>8108328175</v>
      </c>
      <c r="Q70" s="1" t="s">
        <v>2615</v>
      </c>
      <c r="R70" s="10">
        <v>41</v>
      </c>
      <c r="S70" s="10">
        <v>3</v>
      </c>
      <c r="T70" s="1" t="s">
        <v>252</v>
      </c>
      <c r="U70" t="str">
        <f t="shared" si="6"/>
        <v>Valid</v>
      </c>
      <c r="V70">
        <f t="shared" si="7"/>
        <v>8</v>
      </c>
      <c r="W70" t="str">
        <f t="shared" si="8"/>
        <v>Aug</v>
      </c>
      <c r="X70">
        <f t="shared" si="9"/>
        <v>2022</v>
      </c>
      <c r="Y70">
        <f t="shared" ca="1" si="10"/>
        <v>3</v>
      </c>
      <c r="Z70" t="str" cm="1">
        <f t="array" ref="Z70">_xlfn.IFS(G70&lt;30,"20-29",G70&lt;40,"30-39",G70&lt;50,"40-49",G70&gt;=50,"50+")</f>
        <v>20-29</v>
      </c>
      <c r="AA70" t="str" cm="1">
        <f t="array" ref="AA70">_xlfn.IFS(L70&lt;500000,"Band 1: &lt;5L", L70&lt;1000000,"Band 2: 5-10L", L70&lt;1500000,"Band 3: 10-15L", L70&lt;2000000,"Band 4: 15-20L", L70&gt;=2000000,"Band 5: 20L+")</f>
        <v>Band 5: 20L+</v>
      </c>
      <c r="AB70" t="str" cm="1">
        <f t="array" ref="AB70">_xlfn.IFS(N70=1,"Poor", N70=2,"Below Average", N70=3,"Average", N70=4,"Good", N70=5,"Excellent")</f>
        <v>Good</v>
      </c>
      <c r="AC70" s="14">
        <f t="shared" si="11"/>
        <v>519156.06630000001</v>
      </c>
      <c r="AD70" t="str" cm="1">
        <f t="array" ref="AD70">_xlfn.IFS(K70&lt;2,"Junior (0-2 yrs)", K70&lt;5,"Mid-Level (2-5 yrs)", K70&lt;10,"Senior (5-10 yrs)", K70&gt;=10,"Expert (10+ yrs)")</f>
        <v>Senior (5-10 yrs)</v>
      </c>
    </row>
    <row r="71" spans="1:30" x14ac:dyDescent="0.3">
      <c r="A71" s="1" t="s">
        <v>583</v>
      </c>
      <c r="B71" s="1" t="s">
        <v>584</v>
      </c>
      <c r="C71" s="1" t="s">
        <v>69</v>
      </c>
      <c r="D71" s="1" t="s">
        <v>101</v>
      </c>
      <c r="E71" s="1" t="s">
        <v>48</v>
      </c>
      <c r="F71" s="1" t="s">
        <v>93</v>
      </c>
      <c r="G71" s="1">
        <v>27</v>
      </c>
      <c r="H71" s="1" t="s">
        <v>73</v>
      </c>
      <c r="I71" s="1" t="s">
        <v>39</v>
      </c>
      <c r="J71" s="5">
        <v>45317</v>
      </c>
      <c r="K71" s="8">
        <v>25.8</v>
      </c>
      <c r="L71" s="11">
        <v>1966627</v>
      </c>
      <c r="M71" s="12">
        <v>0.1457</v>
      </c>
      <c r="N71" s="7">
        <v>5</v>
      </c>
      <c r="O71" s="1" t="s">
        <v>76</v>
      </c>
      <c r="P71" s="1">
        <v>7483264745</v>
      </c>
      <c r="Q71" s="1" t="s">
        <v>2616</v>
      </c>
      <c r="R71" s="10">
        <v>12</v>
      </c>
      <c r="S71" s="10">
        <v>72</v>
      </c>
      <c r="T71" s="1" t="s">
        <v>147</v>
      </c>
      <c r="U71" t="str">
        <f t="shared" si="6"/>
        <v>Valid</v>
      </c>
      <c r="V71">
        <f t="shared" si="7"/>
        <v>1</v>
      </c>
      <c r="W71" t="str">
        <f t="shared" si="8"/>
        <v>Jan</v>
      </c>
      <c r="X71">
        <f t="shared" si="9"/>
        <v>2024</v>
      </c>
      <c r="Y71">
        <f t="shared" ca="1" si="10"/>
        <v>2</v>
      </c>
      <c r="Z71" t="str" cm="1">
        <f t="array" ref="Z71">_xlfn.IFS(G71&lt;30,"20-29",G71&lt;40,"30-39",G71&lt;50,"40-49",G71&gt;=50,"50+")</f>
        <v>20-29</v>
      </c>
      <c r="AA71" t="str" cm="1">
        <f t="array" ref="AA71">_xlfn.IFS(L71&lt;500000,"Band 1: &lt;5L", L71&lt;1000000,"Band 2: 5-10L", L71&lt;1500000,"Band 3: 10-15L", L71&lt;2000000,"Band 4: 15-20L", L71&gt;=2000000,"Band 5: 20L+")</f>
        <v>Band 4: 15-20L</v>
      </c>
      <c r="AB71" t="str" cm="1">
        <f t="array" ref="AB71">_xlfn.IFS(N71=1,"Poor", N71=2,"Below Average", N71=3,"Average", N71=4,"Good", N71=5,"Excellent")</f>
        <v>Excellent</v>
      </c>
      <c r="AC71" s="14">
        <f t="shared" si="11"/>
        <v>286537.5539</v>
      </c>
      <c r="AD71" t="str" cm="1">
        <f t="array" ref="AD71">_xlfn.IFS(K71&lt;2,"Junior (0-2 yrs)", K71&lt;5,"Mid-Level (2-5 yrs)", K71&lt;10,"Senior (5-10 yrs)", K71&gt;=10,"Expert (10+ yrs)")</f>
        <v>Expert (10+ yrs)</v>
      </c>
    </row>
    <row r="72" spans="1:30" x14ac:dyDescent="0.3">
      <c r="A72" s="1" t="s">
        <v>600</v>
      </c>
      <c r="B72" s="1" t="s">
        <v>601</v>
      </c>
      <c r="C72" s="1" t="s">
        <v>197</v>
      </c>
      <c r="D72" s="1" t="s">
        <v>23</v>
      </c>
      <c r="E72" s="1" t="s">
        <v>175</v>
      </c>
      <c r="F72" s="1" t="s">
        <v>93</v>
      </c>
      <c r="G72" s="1">
        <v>30</v>
      </c>
      <c r="H72" s="1" t="s">
        <v>142</v>
      </c>
      <c r="I72" s="1" t="s">
        <v>74</v>
      </c>
      <c r="J72" s="5">
        <v>42604</v>
      </c>
      <c r="K72" s="8">
        <v>21</v>
      </c>
      <c r="L72" s="11">
        <v>554985</v>
      </c>
      <c r="M72" s="12">
        <v>9.7599999999999992E-2</v>
      </c>
      <c r="N72" s="7">
        <v>4</v>
      </c>
      <c r="O72" s="1" t="s">
        <v>41</v>
      </c>
      <c r="P72" s="1">
        <v>8880100222</v>
      </c>
      <c r="Q72" s="1" t="s">
        <v>2617</v>
      </c>
      <c r="R72" s="10">
        <v>26</v>
      </c>
      <c r="S72" s="10">
        <v>20</v>
      </c>
      <c r="T72" s="1" t="s">
        <v>271</v>
      </c>
      <c r="U72" t="str">
        <f t="shared" si="6"/>
        <v>Invalid</v>
      </c>
      <c r="V72">
        <f t="shared" si="7"/>
        <v>8</v>
      </c>
      <c r="W72" t="str">
        <f t="shared" si="8"/>
        <v>Aug</v>
      </c>
      <c r="X72">
        <f t="shared" si="9"/>
        <v>2016</v>
      </c>
      <c r="Y72">
        <f t="shared" ca="1" si="10"/>
        <v>9</v>
      </c>
      <c r="Z72" t="str" cm="1">
        <f t="array" ref="Z72">_xlfn.IFS(G72&lt;30,"20-29",G72&lt;40,"30-39",G72&lt;50,"40-49",G72&gt;=50,"50+")</f>
        <v>30-39</v>
      </c>
      <c r="AA72" t="str" cm="1">
        <f t="array" ref="AA72">_xlfn.IFS(L72&lt;500000,"Band 1: &lt;5L", L72&lt;1000000,"Band 2: 5-10L", L72&lt;1500000,"Band 3: 10-15L", L72&lt;2000000,"Band 4: 15-20L", L72&gt;=2000000,"Band 5: 20L+")</f>
        <v>Band 2: 5-10L</v>
      </c>
      <c r="AB72" t="str" cm="1">
        <f t="array" ref="AB72">_xlfn.IFS(N72=1,"Poor", N72=2,"Below Average", N72=3,"Average", N72=4,"Good", N72=5,"Excellent")</f>
        <v>Good</v>
      </c>
      <c r="AC72" s="14">
        <f t="shared" si="11"/>
        <v>54166.535999999993</v>
      </c>
      <c r="AD72" t="str" cm="1">
        <f t="array" ref="AD72">_xlfn.IFS(K72&lt;2,"Junior (0-2 yrs)", K72&lt;5,"Mid-Level (2-5 yrs)", K72&lt;10,"Senior (5-10 yrs)", K72&gt;=10,"Expert (10+ yrs)")</f>
        <v>Expert (10+ yrs)</v>
      </c>
    </row>
    <row r="73" spans="1:30" x14ac:dyDescent="0.3">
      <c r="A73" s="1" t="s">
        <v>605</v>
      </c>
      <c r="B73" s="1" t="s">
        <v>606</v>
      </c>
      <c r="C73" s="1" t="s">
        <v>58</v>
      </c>
      <c r="D73" s="1" t="s">
        <v>111</v>
      </c>
      <c r="E73" s="1" t="s">
        <v>155</v>
      </c>
      <c r="F73" s="1" t="s">
        <v>93</v>
      </c>
      <c r="G73" s="1">
        <v>28</v>
      </c>
      <c r="H73" s="1" t="s">
        <v>84</v>
      </c>
      <c r="I73" s="1" t="s">
        <v>39</v>
      </c>
      <c r="J73" s="5">
        <v>42202</v>
      </c>
      <c r="K73" s="8">
        <v>18.399999999999999</v>
      </c>
      <c r="L73" s="11">
        <v>1940492</v>
      </c>
      <c r="M73" s="12">
        <v>9.4100000000000003E-2</v>
      </c>
      <c r="N73" s="7">
        <v>5</v>
      </c>
      <c r="O73" s="1" t="s">
        <v>41</v>
      </c>
      <c r="P73" s="1">
        <v>7428118990</v>
      </c>
      <c r="Q73" s="1" t="s">
        <v>2531</v>
      </c>
      <c r="R73" s="10">
        <v>28</v>
      </c>
      <c r="S73" s="10">
        <v>71</v>
      </c>
      <c r="T73" s="1" t="s">
        <v>138</v>
      </c>
      <c r="U73" t="str">
        <f t="shared" si="6"/>
        <v>Invalid</v>
      </c>
      <c r="V73">
        <f t="shared" si="7"/>
        <v>7</v>
      </c>
      <c r="W73" t="str">
        <f t="shared" si="8"/>
        <v>Jul</v>
      </c>
      <c r="X73">
        <f t="shared" si="9"/>
        <v>2015</v>
      </c>
      <c r="Y73">
        <f t="shared" ca="1" si="10"/>
        <v>10</v>
      </c>
      <c r="Z73" t="str" cm="1">
        <f t="array" ref="Z73">_xlfn.IFS(G73&lt;30,"20-29",G73&lt;40,"30-39",G73&lt;50,"40-49",G73&gt;=50,"50+")</f>
        <v>20-29</v>
      </c>
      <c r="AA73" t="str" cm="1">
        <f t="array" ref="AA73">_xlfn.IFS(L73&lt;500000,"Band 1: &lt;5L", L73&lt;1000000,"Band 2: 5-10L", L73&lt;1500000,"Band 3: 10-15L", L73&lt;2000000,"Band 4: 15-20L", L73&gt;=2000000,"Band 5: 20L+")</f>
        <v>Band 4: 15-20L</v>
      </c>
      <c r="AB73" t="str" cm="1">
        <f t="array" ref="AB73">_xlfn.IFS(N73=1,"Poor", N73=2,"Below Average", N73=3,"Average", N73=4,"Good", N73=5,"Excellent")</f>
        <v>Excellent</v>
      </c>
      <c r="AC73" s="14">
        <f t="shared" si="11"/>
        <v>182600.2972</v>
      </c>
      <c r="AD73" t="str" cm="1">
        <f t="array" ref="AD73">_xlfn.IFS(K73&lt;2,"Junior (0-2 yrs)", K73&lt;5,"Mid-Level (2-5 yrs)", K73&lt;10,"Senior (5-10 yrs)", K73&gt;=10,"Expert (10+ yrs)")</f>
        <v>Expert (10+ yrs)</v>
      </c>
    </row>
    <row r="74" spans="1:30" x14ac:dyDescent="0.3">
      <c r="A74" s="1" t="s">
        <v>610</v>
      </c>
      <c r="B74" s="1" t="s">
        <v>611</v>
      </c>
      <c r="C74" s="1" t="s">
        <v>197</v>
      </c>
      <c r="D74" s="1" t="s">
        <v>244</v>
      </c>
      <c r="E74" s="1" t="s">
        <v>60</v>
      </c>
      <c r="F74" s="1" t="s">
        <v>93</v>
      </c>
      <c r="G74" s="1">
        <v>40</v>
      </c>
      <c r="H74" s="1" t="s">
        <v>204</v>
      </c>
      <c r="I74" s="1" t="s">
        <v>51</v>
      </c>
      <c r="J74" s="5">
        <v>44184</v>
      </c>
      <c r="K74" s="8">
        <v>16.3</v>
      </c>
      <c r="L74" s="11">
        <v>2080869</v>
      </c>
      <c r="M74" s="12">
        <v>9.9499999999999991E-2</v>
      </c>
      <c r="N74" s="7">
        <v>4</v>
      </c>
      <c r="O74" s="1" t="s">
        <v>41</v>
      </c>
      <c r="P74" s="1">
        <v>9153736809</v>
      </c>
      <c r="Q74" s="1" t="s">
        <v>2618</v>
      </c>
      <c r="R74" s="10">
        <v>29</v>
      </c>
      <c r="S74" s="10">
        <v>24</v>
      </c>
      <c r="T74" s="1" t="s">
        <v>129</v>
      </c>
      <c r="U74" t="str">
        <f t="shared" si="6"/>
        <v>Invalid</v>
      </c>
      <c r="V74">
        <f t="shared" si="7"/>
        <v>12</v>
      </c>
      <c r="W74" t="str">
        <f t="shared" si="8"/>
        <v>Dec</v>
      </c>
      <c r="X74">
        <f t="shared" si="9"/>
        <v>2020</v>
      </c>
      <c r="Y74">
        <f t="shared" ca="1" si="10"/>
        <v>5</v>
      </c>
      <c r="Z74" t="str" cm="1">
        <f t="array" ref="Z74">_xlfn.IFS(G74&lt;30,"20-29",G74&lt;40,"30-39",G74&lt;50,"40-49",G74&gt;=50,"50+")</f>
        <v>40-49</v>
      </c>
      <c r="AA74" t="str" cm="1">
        <f t="array" ref="AA74">_xlfn.IFS(L74&lt;500000,"Band 1: &lt;5L", L74&lt;1000000,"Band 2: 5-10L", L74&lt;1500000,"Band 3: 10-15L", L74&lt;2000000,"Band 4: 15-20L", L74&gt;=2000000,"Band 5: 20L+")</f>
        <v>Band 5: 20L+</v>
      </c>
      <c r="AB74" t="str" cm="1">
        <f t="array" ref="AB74">_xlfn.IFS(N74=1,"Poor", N74=2,"Below Average", N74=3,"Average", N74=4,"Good", N74=5,"Excellent")</f>
        <v>Good</v>
      </c>
      <c r="AC74" s="14">
        <f t="shared" si="11"/>
        <v>207046.46549999999</v>
      </c>
      <c r="AD74" t="str" cm="1">
        <f t="array" ref="AD74">_xlfn.IFS(K74&lt;2,"Junior (0-2 yrs)", K74&lt;5,"Mid-Level (2-5 yrs)", K74&lt;10,"Senior (5-10 yrs)", K74&gt;=10,"Expert (10+ yrs)")</f>
        <v>Expert (10+ yrs)</v>
      </c>
    </row>
    <row r="75" spans="1:30" x14ac:dyDescent="0.3">
      <c r="A75" s="1" t="s">
        <v>615</v>
      </c>
      <c r="B75" s="1" t="s">
        <v>616</v>
      </c>
      <c r="C75" s="1" t="s">
        <v>69</v>
      </c>
      <c r="D75" s="1" t="s">
        <v>101</v>
      </c>
      <c r="E75" s="1" t="s">
        <v>92</v>
      </c>
      <c r="F75" s="1" t="s">
        <v>37</v>
      </c>
      <c r="G75" s="1">
        <v>56</v>
      </c>
      <c r="H75" s="1" t="s">
        <v>62</v>
      </c>
      <c r="I75" s="1" t="s">
        <v>51</v>
      </c>
      <c r="J75" s="5">
        <v>41643</v>
      </c>
      <c r="K75" s="8">
        <v>29.1</v>
      </c>
      <c r="L75" s="11">
        <v>415765</v>
      </c>
      <c r="M75" s="12">
        <v>0.22489999999999999</v>
      </c>
      <c r="N75" s="7">
        <v>3</v>
      </c>
      <c r="O75" s="1" t="s">
        <v>41</v>
      </c>
      <c r="P75" s="1">
        <v>8874297457</v>
      </c>
      <c r="Q75" s="1" t="s">
        <v>2619</v>
      </c>
      <c r="R75" s="10">
        <v>5</v>
      </c>
      <c r="S75" s="10">
        <v>0</v>
      </c>
      <c r="T75" s="1" t="s">
        <v>79</v>
      </c>
      <c r="U75" t="str">
        <f t="shared" si="6"/>
        <v>Valid</v>
      </c>
      <c r="V75">
        <f t="shared" si="7"/>
        <v>1</v>
      </c>
      <c r="W75" t="str">
        <f t="shared" si="8"/>
        <v>Jan</v>
      </c>
      <c r="X75">
        <f t="shared" si="9"/>
        <v>2014</v>
      </c>
      <c r="Y75">
        <f t="shared" ca="1" si="10"/>
        <v>12</v>
      </c>
      <c r="Z75" t="str" cm="1">
        <f t="array" ref="Z75">_xlfn.IFS(G75&lt;30,"20-29",G75&lt;40,"30-39",G75&lt;50,"40-49",G75&gt;=50,"50+")</f>
        <v>50+</v>
      </c>
      <c r="AA75" t="str" cm="1">
        <f t="array" ref="AA75">_xlfn.IFS(L75&lt;500000,"Band 1: &lt;5L", L75&lt;1000000,"Band 2: 5-10L", L75&lt;1500000,"Band 3: 10-15L", L75&lt;2000000,"Band 4: 15-20L", L75&gt;=2000000,"Band 5: 20L+")</f>
        <v>Band 1: &lt;5L</v>
      </c>
      <c r="AB75" t="str" cm="1">
        <f t="array" ref="AB75">_xlfn.IFS(N75=1,"Poor", N75=2,"Below Average", N75=3,"Average", N75=4,"Good", N75=5,"Excellent")</f>
        <v>Average</v>
      </c>
      <c r="AC75" s="14">
        <f t="shared" si="11"/>
        <v>93505.54849999999</v>
      </c>
      <c r="AD75" t="str" cm="1">
        <f t="array" ref="AD75">_xlfn.IFS(K75&lt;2,"Junior (0-2 yrs)", K75&lt;5,"Mid-Level (2-5 yrs)", K75&lt;10,"Senior (5-10 yrs)", K75&gt;=10,"Expert (10+ yrs)")</f>
        <v>Expert (10+ yrs)</v>
      </c>
    </row>
    <row r="76" spans="1:30" x14ac:dyDescent="0.3">
      <c r="A76" s="1" t="s">
        <v>55</v>
      </c>
      <c r="B76" s="1" t="s">
        <v>620</v>
      </c>
      <c r="C76" s="1" t="s">
        <v>124</v>
      </c>
      <c r="D76" s="1" t="s">
        <v>23</v>
      </c>
      <c r="E76" s="1" t="s">
        <v>48</v>
      </c>
      <c r="F76" s="1" t="s">
        <v>93</v>
      </c>
      <c r="G76" s="1">
        <v>29</v>
      </c>
      <c r="H76" s="1" t="s">
        <v>204</v>
      </c>
      <c r="I76" s="1" t="s">
        <v>74</v>
      </c>
      <c r="J76" s="5">
        <v>44350</v>
      </c>
      <c r="K76" s="8">
        <v>28.5</v>
      </c>
      <c r="L76" s="11">
        <v>1662176</v>
      </c>
      <c r="M76" s="12">
        <v>0.1865</v>
      </c>
      <c r="N76" s="7">
        <v>2</v>
      </c>
      <c r="O76" s="1" t="s">
        <v>41</v>
      </c>
      <c r="P76" s="1">
        <v>8719918855</v>
      </c>
      <c r="Q76" s="1" t="s">
        <v>2620</v>
      </c>
      <c r="R76" s="10">
        <v>21</v>
      </c>
      <c r="S76" s="10">
        <v>81</v>
      </c>
      <c r="T76" s="1" t="s">
        <v>166</v>
      </c>
      <c r="U76" t="str">
        <f t="shared" si="6"/>
        <v>Valid</v>
      </c>
      <c r="V76">
        <f t="shared" si="7"/>
        <v>6</v>
      </c>
      <c r="W76" t="str">
        <f t="shared" si="8"/>
        <v>Jun</v>
      </c>
      <c r="X76">
        <f t="shared" si="9"/>
        <v>2021</v>
      </c>
      <c r="Y76">
        <f t="shared" ca="1" si="10"/>
        <v>4</v>
      </c>
      <c r="Z76" t="str" cm="1">
        <f t="array" ref="Z76">_xlfn.IFS(G76&lt;30,"20-29",G76&lt;40,"30-39",G76&lt;50,"40-49",G76&gt;=50,"50+")</f>
        <v>20-29</v>
      </c>
      <c r="AA76" t="str" cm="1">
        <f t="array" ref="AA76">_xlfn.IFS(L76&lt;500000,"Band 1: &lt;5L", L76&lt;1000000,"Band 2: 5-10L", L76&lt;1500000,"Band 3: 10-15L", L76&lt;2000000,"Band 4: 15-20L", L76&gt;=2000000,"Band 5: 20L+")</f>
        <v>Band 4: 15-20L</v>
      </c>
      <c r="AB76" t="str" cm="1">
        <f t="array" ref="AB76">_xlfn.IFS(N76=1,"Poor", N76=2,"Below Average", N76=3,"Average", N76=4,"Good", N76=5,"Excellent")</f>
        <v>Below Average</v>
      </c>
      <c r="AC76" s="14">
        <f t="shared" si="11"/>
        <v>309995.82400000002</v>
      </c>
      <c r="AD76" t="str" cm="1">
        <f t="array" ref="AD76">_xlfn.IFS(K76&lt;2,"Junior (0-2 yrs)", K76&lt;5,"Mid-Level (2-5 yrs)", K76&lt;10,"Senior (5-10 yrs)", K76&gt;=10,"Expert (10+ yrs)")</f>
        <v>Expert (10+ yrs)</v>
      </c>
    </row>
    <row r="77" spans="1:30" x14ac:dyDescent="0.3">
      <c r="A77" s="1" t="s">
        <v>624</v>
      </c>
      <c r="B77" s="1" t="s">
        <v>625</v>
      </c>
      <c r="C77" s="1" t="s">
        <v>58</v>
      </c>
      <c r="D77" s="1" t="s">
        <v>101</v>
      </c>
      <c r="E77" s="1" t="s">
        <v>36</v>
      </c>
      <c r="F77" s="1" t="s">
        <v>93</v>
      </c>
      <c r="G77" s="1">
        <v>56</v>
      </c>
      <c r="H77" s="1" t="s">
        <v>26</v>
      </c>
      <c r="I77" s="1" t="s">
        <v>51</v>
      </c>
      <c r="J77" s="5">
        <v>44540</v>
      </c>
      <c r="K77" s="8">
        <v>17.7</v>
      </c>
      <c r="L77" s="11">
        <v>1157586</v>
      </c>
      <c r="M77" s="12">
        <v>9.7899999999999987E-2</v>
      </c>
      <c r="N77" s="7">
        <v>4</v>
      </c>
      <c r="O77" s="1" t="s">
        <v>41</v>
      </c>
      <c r="P77" s="1">
        <v>7786313297</v>
      </c>
      <c r="Q77" s="1" t="s">
        <v>2621</v>
      </c>
      <c r="R77" s="10">
        <v>72</v>
      </c>
      <c r="S77" s="10">
        <v>43</v>
      </c>
      <c r="T77" s="1" t="s">
        <v>629</v>
      </c>
      <c r="U77" t="str">
        <f t="shared" si="6"/>
        <v>Invalid</v>
      </c>
      <c r="V77">
        <f t="shared" si="7"/>
        <v>12</v>
      </c>
      <c r="W77" t="str">
        <f t="shared" si="8"/>
        <v>Dec</v>
      </c>
      <c r="X77">
        <f t="shared" si="9"/>
        <v>2021</v>
      </c>
      <c r="Y77">
        <f t="shared" ca="1" si="10"/>
        <v>4</v>
      </c>
      <c r="Z77" t="str" cm="1">
        <f t="array" ref="Z77">_xlfn.IFS(G77&lt;30,"20-29",G77&lt;40,"30-39",G77&lt;50,"40-49",G77&gt;=50,"50+")</f>
        <v>50+</v>
      </c>
      <c r="AA77" t="str" cm="1">
        <f t="array" ref="AA77">_xlfn.IFS(L77&lt;500000,"Band 1: &lt;5L", L77&lt;1000000,"Band 2: 5-10L", L77&lt;1500000,"Band 3: 10-15L", L77&lt;2000000,"Band 4: 15-20L", L77&gt;=2000000,"Band 5: 20L+")</f>
        <v>Band 3: 10-15L</v>
      </c>
      <c r="AB77" t="str" cm="1">
        <f t="array" ref="AB77">_xlfn.IFS(N77=1,"Poor", N77=2,"Below Average", N77=3,"Average", N77=4,"Good", N77=5,"Excellent")</f>
        <v>Good</v>
      </c>
      <c r="AC77" s="14">
        <f t="shared" si="11"/>
        <v>113327.66939999998</v>
      </c>
      <c r="AD77" t="str" cm="1">
        <f t="array" ref="AD77">_xlfn.IFS(K77&lt;2,"Junior (0-2 yrs)", K77&lt;5,"Mid-Level (2-5 yrs)", K77&lt;10,"Senior (5-10 yrs)", K77&gt;=10,"Expert (10+ yrs)")</f>
        <v>Expert (10+ yrs)</v>
      </c>
    </row>
    <row r="78" spans="1:30" x14ac:dyDescent="0.3">
      <c r="A78" s="1" t="s">
        <v>630</v>
      </c>
      <c r="B78" s="1" t="s">
        <v>631</v>
      </c>
      <c r="C78" s="1" t="s">
        <v>58</v>
      </c>
      <c r="D78" s="1" t="s">
        <v>244</v>
      </c>
      <c r="E78" s="1" t="s">
        <v>155</v>
      </c>
      <c r="F78" s="1" t="s">
        <v>37</v>
      </c>
      <c r="G78" s="1">
        <v>42</v>
      </c>
      <c r="H78" s="1" t="s">
        <v>204</v>
      </c>
      <c r="I78" s="1" t="s">
        <v>27</v>
      </c>
      <c r="J78" s="5">
        <v>45069</v>
      </c>
      <c r="K78" s="8">
        <v>1.5</v>
      </c>
      <c r="L78" s="11">
        <v>2156215</v>
      </c>
      <c r="M78" s="12">
        <v>0.16500000000000001</v>
      </c>
      <c r="N78" s="7">
        <v>3</v>
      </c>
      <c r="O78" s="1" t="s">
        <v>76</v>
      </c>
      <c r="P78" s="1">
        <v>9093602951</v>
      </c>
      <c r="Q78" s="1" t="s">
        <v>2622</v>
      </c>
      <c r="R78" s="10">
        <v>73</v>
      </c>
      <c r="S78" s="10">
        <v>71</v>
      </c>
      <c r="T78" s="1" t="s">
        <v>548</v>
      </c>
      <c r="U78" t="str">
        <f t="shared" si="6"/>
        <v>Invalid</v>
      </c>
      <c r="V78">
        <f t="shared" si="7"/>
        <v>5</v>
      </c>
      <c r="W78" t="str">
        <f t="shared" si="8"/>
        <v>May</v>
      </c>
      <c r="X78">
        <f t="shared" si="9"/>
        <v>2023</v>
      </c>
      <c r="Y78">
        <f t="shared" ca="1" si="10"/>
        <v>2</v>
      </c>
      <c r="Z78" t="str" cm="1">
        <f t="array" ref="Z78">_xlfn.IFS(G78&lt;30,"20-29",G78&lt;40,"30-39",G78&lt;50,"40-49",G78&gt;=50,"50+")</f>
        <v>40-49</v>
      </c>
      <c r="AA78" t="str" cm="1">
        <f t="array" ref="AA78">_xlfn.IFS(L78&lt;500000,"Band 1: &lt;5L", L78&lt;1000000,"Band 2: 5-10L", L78&lt;1500000,"Band 3: 10-15L", L78&lt;2000000,"Band 4: 15-20L", L78&gt;=2000000,"Band 5: 20L+")</f>
        <v>Band 5: 20L+</v>
      </c>
      <c r="AB78" t="str" cm="1">
        <f t="array" ref="AB78">_xlfn.IFS(N78=1,"Poor", N78=2,"Below Average", N78=3,"Average", N78=4,"Good", N78=5,"Excellent")</f>
        <v>Average</v>
      </c>
      <c r="AC78" s="14">
        <f t="shared" si="11"/>
        <v>355775.47500000003</v>
      </c>
      <c r="AD78" t="str" cm="1">
        <f t="array" ref="AD78">_xlfn.IFS(K78&lt;2,"Junior (0-2 yrs)", K78&lt;5,"Mid-Level (2-5 yrs)", K78&lt;10,"Senior (5-10 yrs)", K78&gt;=10,"Expert (10+ yrs)")</f>
        <v>Junior (0-2 yrs)</v>
      </c>
    </row>
    <row r="79" spans="1:30" x14ac:dyDescent="0.3">
      <c r="A79" s="1" t="s">
        <v>640</v>
      </c>
      <c r="B79" s="1" t="s">
        <v>641</v>
      </c>
      <c r="C79" s="1" t="s">
        <v>69</v>
      </c>
      <c r="D79" s="1" t="s">
        <v>231</v>
      </c>
      <c r="E79" s="1" t="s">
        <v>92</v>
      </c>
      <c r="F79" s="1" t="s">
        <v>93</v>
      </c>
      <c r="G79" s="1">
        <v>34</v>
      </c>
      <c r="H79" s="1" t="s">
        <v>142</v>
      </c>
      <c r="I79" s="1" t="s">
        <v>39</v>
      </c>
      <c r="J79" s="5">
        <v>42303</v>
      </c>
      <c r="K79" s="8">
        <v>23.9</v>
      </c>
      <c r="L79" s="11">
        <v>1645107</v>
      </c>
      <c r="M79" s="12">
        <v>7.0099999999999996E-2</v>
      </c>
      <c r="N79" s="7">
        <v>5</v>
      </c>
      <c r="O79" s="1" t="s">
        <v>76</v>
      </c>
      <c r="P79" s="1">
        <v>7726107845</v>
      </c>
      <c r="Q79" s="1" t="s">
        <v>2623</v>
      </c>
      <c r="R79" s="10">
        <v>3</v>
      </c>
      <c r="S79" s="10">
        <v>115</v>
      </c>
      <c r="T79" s="1" t="s">
        <v>522</v>
      </c>
      <c r="U79" t="str">
        <f t="shared" si="6"/>
        <v>Invalid</v>
      </c>
      <c r="V79">
        <f t="shared" si="7"/>
        <v>10</v>
      </c>
      <c r="W79" t="str">
        <f t="shared" si="8"/>
        <v>Oct</v>
      </c>
      <c r="X79">
        <f t="shared" si="9"/>
        <v>2015</v>
      </c>
      <c r="Y79">
        <f t="shared" ca="1" si="10"/>
        <v>10</v>
      </c>
      <c r="Z79" t="str" cm="1">
        <f t="array" ref="Z79">_xlfn.IFS(G79&lt;30,"20-29",G79&lt;40,"30-39",G79&lt;50,"40-49",G79&gt;=50,"50+")</f>
        <v>30-39</v>
      </c>
      <c r="AA79" t="str" cm="1">
        <f t="array" ref="AA79">_xlfn.IFS(L79&lt;500000,"Band 1: &lt;5L", L79&lt;1000000,"Band 2: 5-10L", L79&lt;1500000,"Band 3: 10-15L", L79&lt;2000000,"Band 4: 15-20L", L79&gt;=2000000,"Band 5: 20L+")</f>
        <v>Band 4: 15-20L</v>
      </c>
      <c r="AB79" t="str" cm="1">
        <f t="array" ref="AB79">_xlfn.IFS(N79=1,"Poor", N79=2,"Below Average", N79=3,"Average", N79=4,"Good", N79=5,"Excellent")</f>
        <v>Excellent</v>
      </c>
      <c r="AC79" s="14">
        <f t="shared" si="11"/>
        <v>115322.00069999999</v>
      </c>
      <c r="AD79" t="str" cm="1">
        <f t="array" ref="AD79">_xlfn.IFS(K79&lt;2,"Junior (0-2 yrs)", K79&lt;5,"Mid-Level (2-5 yrs)", K79&lt;10,"Senior (5-10 yrs)", K79&gt;=10,"Expert (10+ yrs)")</f>
        <v>Expert (10+ yrs)</v>
      </c>
    </row>
    <row r="80" spans="1:30" x14ac:dyDescent="0.3">
      <c r="A80" s="1" t="s">
        <v>645</v>
      </c>
      <c r="B80" s="1" t="s">
        <v>646</v>
      </c>
      <c r="C80" s="1" t="s">
        <v>58</v>
      </c>
      <c r="D80" s="1" t="s">
        <v>23</v>
      </c>
      <c r="E80" s="1" t="s">
        <v>24</v>
      </c>
      <c r="F80" s="1" t="s">
        <v>37</v>
      </c>
      <c r="G80" s="1">
        <v>41</v>
      </c>
      <c r="H80" s="1" t="s">
        <v>142</v>
      </c>
      <c r="I80" s="1" t="s">
        <v>39</v>
      </c>
      <c r="J80" s="5">
        <v>45017</v>
      </c>
      <c r="K80" s="8">
        <v>6.7</v>
      </c>
      <c r="L80" s="11">
        <v>2003390</v>
      </c>
      <c r="M80" s="12">
        <v>8.9399999999999993E-2</v>
      </c>
      <c r="N80" s="7">
        <v>2</v>
      </c>
      <c r="O80" s="1" t="s">
        <v>41</v>
      </c>
      <c r="P80" s="1">
        <v>7287856644</v>
      </c>
      <c r="Q80" s="1" t="s">
        <v>2624</v>
      </c>
      <c r="R80" s="10">
        <v>76</v>
      </c>
      <c r="S80" s="10">
        <v>49</v>
      </c>
      <c r="T80" s="1" t="s">
        <v>403</v>
      </c>
      <c r="U80" t="str">
        <f t="shared" si="6"/>
        <v>Valid</v>
      </c>
      <c r="V80">
        <f t="shared" si="7"/>
        <v>4</v>
      </c>
      <c r="W80" t="str">
        <f t="shared" si="8"/>
        <v>Apr</v>
      </c>
      <c r="X80">
        <f t="shared" si="9"/>
        <v>2023</v>
      </c>
      <c r="Y80">
        <f t="shared" ca="1" si="10"/>
        <v>2</v>
      </c>
      <c r="Z80" t="str" cm="1">
        <f t="array" ref="Z80">_xlfn.IFS(G80&lt;30,"20-29",G80&lt;40,"30-39",G80&lt;50,"40-49",G80&gt;=50,"50+")</f>
        <v>40-49</v>
      </c>
      <c r="AA80" t="str" cm="1">
        <f t="array" ref="AA80">_xlfn.IFS(L80&lt;500000,"Band 1: &lt;5L", L80&lt;1000000,"Band 2: 5-10L", L80&lt;1500000,"Band 3: 10-15L", L80&lt;2000000,"Band 4: 15-20L", L80&gt;=2000000,"Band 5: 20L+")</f>
        <v>Band 5: 20L+</v>
      </c>
      <c r="AB80" t="str" cm="1">
        <f t="array" ref="AB80">_xlfn.IFS(N80=1,"Poor", N80=2,"Below Average", N80=3,"Average", N80=4,"Good", N80=5,"Excellent")</f>
        <v>Below Average</v>
      </c>
      <c r="AC80" s="14">
        <f t="shared" si="11"/>
        <v>179103.06599999999</v>
      </c>
      <c r="AD80" t="str" cm="1">
        <f t="array" ref="AD80">_xlfn.IFS(K80&lt;2,"Junior (0-2 yrs)", K80&lt;5,"Mid-Level (2-5 yrs)", K80&lt;10,"Senior (5-10 yrs)", K80&gt;=10,"Expert (10+ yrs)")</f>
        <v>Senior (5-10 yrs)</v>
      </c>
    </row>
    <row r="81" spans="1:30" x14ac:dyDescent="0.3">
      <c r="A81" s="1" t="s">
        <v>654</v>
      </c>
      <c r="B81" s="1" t="s">
        <v>655</v>
      </c>
      <c r="C81" s="1" t="s">
        <v>197</v>
      </c>
      <c r="D81" s="1" t="s">
        <v>101</v>
      </c>
      <c r="E81" s="1" t="s">
        <v>189</v>
      </c>
      <c r="F81" s="1" t="s">
        <v>37</v>
      </c>
      <c r="G81" s="1">
        <v>44</v>
      </c>
      <c r="H81" s="1" t="s">
        <v>50</v>
      </c>
      <c r="I81" s="1" t="s">
        <v>51</v>
      </c>
      <c r="J81" s="5">
        <v>44509</v>
      </c>
      <c r="K81" s="8">
        <v>23.6</v>
      </c>
      <c r="L81" s="11">
        <v>1343127</v>
      </c>
      <c r="M81" s="12">
        <v>0.19519999999999998</v>
      </c>
      <c r="N81" s="7">
        <v>3</v>
      </c>
      <c r="O81" s="1" t="s">
        <v>76</v>
      </c>
      <c r="P81" s="1">
        <v>9784371073</v>
      </c>
      <c r="Q81" s="1" t="s">
        <v>2625</v>
      </c>
      <c r="R81" s="10">
        <v>63</v>
      </c>
      <c r="S81" s="10">
        <v>42</v>
      </c>
      <c r="T81" s="1" t="s">
        <v>516</v>
      </c>
      <c r="U81" t="str">
        <f t="shared" si="6"/>
        <v>Invalid</v>
      </c>
      <c r="V81">
        <f t="shared" si="7"/>
        <v>11</v>
      </c>
      <c r="W81" t="str">
        <f t="shared" si="8"/>
        <v>Nov</v>
      </c>
      <c r="X81">
        <f t="shared" si="9"/>
        <v>2021</v>
      </c>
      <c r="Y81">
        <f t="shared" ca="1" si="10"/>
        <v>4</v>
      </c>
      <c r="Z81" t="str" cm="1">
        <f t="array" ref="Z81">_xlfn.IFS(G81&lt;30,"20-29",G81&lt;40,"30-39",G81&lt;50,"40-49",G81&gt;=50,"50+")</f>
        <v>40-49</v>
      </c>
      <c r="AA81" t="str" cm="1">
        <f t="array" ref="AA81">_xlfn.IFS(L81&lt;500000,"Band 1: &lt;5L", L81&lt;1000000,"Band 2: 5-10L", L81&lt;1500000,"Band 3: 10-15L", L81&lt;2000000,"Band 4: 15-20L", L81&gt;=2000000,"Band 5: 20L+")</f>
        <v>Band 3: 10-15L</v>
      </c>
      <c r="AB81" t="str" cm="1">
        <f t="array" ref="AB81">_xlfn.IFS(N81=1,"Poor", N81=2,"Below Average", N81=3,"Average", N81=4,"Good", N81=5,"Excellent")</f>
        <v>Average</v>
      </c>
      <c r="AC81" s="14">
        <f t="shared" si="11"/>
        <v>262178.39039999997</v>
      </c>
      <c r="AD81" t="str" cm="1">
        <f t="array" ref="AD81">_xlfn.IFS(K81&lt;2,"Junior (0-2 yrs)", K81&lt;5,"Mid-Level (2-5 yrs)", K81&lt;10,"Senior (5-10 yrs)", K81&gt;=10,"Expert (10+ yrs)")</f>
        <v>Expert (10+ yrs)</v>
      </c>
    </row>
    <row r="82" spans="1:30" x14ac:dyDescent="0.3">
      <c r="A82" s="1" t="s">
        <v>194</v>
      </c>
      <c r="B82" s="1" t="s">
        <v>659</v>
      </c>
      <c r="C82" s="1" t="s">
        <v>58</v>
      </c>
      <c r="D82" s="1" t="s">
        <v>244</v>
      </c>
      <c r="E82" s="1" t="s">
        <v>48</v>
      </c>
      <c r="F82" s="1" t="s">
        <v>37</v>
      </c>
      <c r="G82" s="1">
        <v>45</v>
      </c>
      <c r="H82" s="1" t="s">
        <v>62</v>
      </c>
      <c r="I82" s="1" t="s">
        <v>39</v>
      </c>
      <c r="J82" s="5">
        <v>44002</v>
      </c>
      <c r="K82" s="8">
        <v>20.3</v>
      </c>
      <c r="L82" s="11">
        <v>2219105</v>
      </c>
      <c r="M82" s="12">
        <v>0.16839999999999999</v>
      </c>
      <c r="N82" s="7">
        <v>3</v>
      </c>
      <c r="O82" s="1" t="s">
        <v>41</v>
      </c>
      <c r="P82" s="1">
        <v>8511763726</v>
      </c>
      <c r="Q82" s="1" t="s">
        <v>2626</v>
      </c>
      <c r="R82" s="10">
        <v>78</v>
      </c>
      <c r="S82" s="10">
        <v>86</v>
      </c>
      <c r="T82" s="1" t="s">
        <v>195</v>
      </c>
      <c r="U82" t="str">
        <f t="shared" si="6"/>
        <v>Invalid</v>
      </c>
      <c r="V82">
        <f t="shared" si="7"/>
        <v>6</v>
      </c>
      <c r="W82" t="str">
        <f t="shared" si="8"/>
        <v>Jun</v>
      </c>
      <c r="X82">
        <f t="shared" si="9"/>
        <v>2020</v>
      </c>
      <c r="Y82">
        <f t="shared" ca="1" si="10"/>
        <v>5</v>
      </c>
      <c r="Z82" t="str" cm="1">
        <f t="array" ref="Z82">_xlfn.IFS(G82&lt;30,"20-29",G82&lt;40,"30-39",G82&lt;50,"40-49",G82&gt;=50,"50+")</f>
        <v>40-49</v>
      </c>
      <c r="AA82" t="str" cm="1">
        <f t="array" ref="AA82">_xlfn.IFS(L82&lt;500000,"Band 1: &lt;5L", L82&lt;1000000,"Band 2: 5-10L", L82&lt;1500000,"Band 3: 10-15L", L82&lt;2000000,"Band 4: 15-20L", L82&gt;=2000000,"Band 5: 20L+")</f>
        <v>Band 5: 20L+</v>
      </c>
      <c r="AB82" t="str" cm="1">
        <f t="array" ref="AB82">_xlfn.IFS(N82=1,"Poor", N82=2,"Below Average", N82=3,"Average", N82=4,"Good", N82=5,"Excellent")</f>
        <v>Average</v>
      </c>
      <c r="AC82" s="14">
        <f t="shared" si="11"/>
        <v>373697.28200000001</v>
      </c>
      <c r="AD82" t="str" cm="1">
        <f t="array" ref="AD82">_xlfn.IFS(K82&lt;2,"Junior (0-2 yrs)", K82&lt;5,"Mid-Level (2-5 yrs)", K82&lt;10,"Senior (5-10 yrs)", K82&gt;=10,"Expert (10+ yrs)")</f>
        <v>Expert (10+ yrs)</v>
      </c>
    </row>
    <row r="83" spans="1:30" x14ac:dyDescent="0.3">
      <c r="A83" s="1" t="s">
        <v>663</v>
      </c>
      <c r="B83" s="1" t="s">
        <v>2513</v>
      </c>
      <c r="C83" s="1" t="s">
        <v>197</v>
      </c>
      <c r="D83" s="1" t="s">
        <v>244</v>
      </c>
      <c r="E83" s="1" t="s">
        <v>60</v>
      </c>
      <c r="F83" s="1" t="s">
        <v>37</v>
      </c>
      <c r="G83" s="1">
        <v>28</v>
      </c>
      <c r="H83" s="1" t="s">
        <v>218</v>
      </c>
      <c r="I83" s="1" t="s">
        <v>39</v>
      </c>
      <c r="J83" s="5">
        <v>41097</v>
      </c>
      <c r="K83" s="8">
        <v>9.1</v>
      </c>
      <c r="L83" s="11">
        <v>1382940</v>
      </c>
      <c r="M83" s="12">
        <v>1.7100000000000001E-2</v>
      </c>
      <c r="N83" s="7">
        <v>3</v>
      </c>
      <c r="O83" s="1" t="s">
        <v>41</v>
      </c>
      <c r="P83" s="1">
        <v>8329259824</v>
      </c>
      <c r="Q83" s="1" t="s">
        <v>2627</v>
      </c>
      <c r="R83" s="10">
        <v>15</v>
      </c>
      <c r="S83" s="10">
        <v>0</v>
      </c>
      <c r="T83" s="1" t="s">
        <v>186</v>
      </c>
      <c r="U83" t="str">
        <f t="shared" si="6"/>
        <v>Valid</v>
      </c>
      <c r="V83">
        <f t="shared" si="7"/>
        <v>7</v>
      </c>
      <c r="W83" t="str">
        <f t="shared" si="8"/>
        <v>Jul</v>
      </c>
      <c r="X83">
        <f t="shared" si="9"/>
        <v>2012</v>
      </c>
      <c r="Y83">
        <f t="shared" ca="1" si="10"/>
        <v>13</v>
      </c>
      <c r="Z83" t="str" cm="1">
        <f t="array" ref="Z83">_xlfn.IFS(G83&lt;30,"20-29",G83&lt;40,"30-39",G83&lt;50,"40-49",G83&gt;=50,"50+")</f>
        <v>20-29</v>
      </c>
      <c r="AA83" t="str" cm="1">
        <f t="array" ref="AA83">_xlfn.IFS(L83&lt;500000,"Band 1: &lt;5L", L83&lt;1000000,"Band 2: 5-10L", L83&lt;1500000,"Band 3: 10-15L", L83&lt;2000000,"Band 4: 15-20L", L83&gt;=2000000,"Band 5: 20L+")</f>
        <v>Band 3: 10-15L</v>
      </c>
      <c r="AB83" t="str" cm="1">
        <f t="array" ref="AB83">_xlfn.IFS(N83=1,"Poor", N83=2,"Below Average", N83=3,"Average", N83=4,"Good", N83=5,"Excellent")</f>
        <v>Average</v>
      </c>
      <c r="AC83" s="14">
        <f t="shared" si="11"/>
        <v>23648.274000000001</v>
      </c>
      <c r="AD83" t="str" cm="1">
        <f t="array" ref="AD83">_xlfn.IFS(K83&lt;2,"Junior (0-2 yrs)", K83&lt;5,"Mid-Level (2-5 yrs)", K83&lt;10,"Senior (5-10 yrs)", K83&gt;=10,"Expert (10+ yrs)")</f>
        <v>Senior (5-10 yrs)</v>
      </c>
    </row>
    <row r="84" spans="1:30" x14ac:dyDescent="0.3">
      <c r="A84" s="1" t="s">
        <v>668</v>
      </c>
      <c r="B84" s="1" t="s">
        <v>669</v>
      </c>
      <c r="C84" s="1" t="s">
        <v>58</v>
      </c>
      <c r="D84" s="1" t="s">
        <v>23</v>
      </c>
      <c r="E84" s="1" t="s">
        <v>290</v>
      </c>
      <c r="F84" s="1" t="s">
        <v>37</v>
      </c>
      <c r="G84" s="1">
        <v>40</v>
      </c>
      <c r="H84" s="1" t="s">
        <v>218</v>
      </c>
      <c r="I84" s="1" t="s">
        <v>74</v>
      </c>
      <c r="J84" s="5">
        <v>44607</v>
      </c>
      <c r="K84" s="8">
        <v>8.6</v>
      </c>
      <c r="L84" s="11">
        <v>2367641</v>
      </c>
      <c r="M84" s="12">
        <v>8.5000000000000006E-3</v>
      </c>
      <c r="N84" s="7">
        <v>3</v>
      </c>
      <c r="O84" s="1" t="s">
        <v>41</v>
      </c>
      <c r="P84" s="1">
        <v>8963153449</v>
      </c>
      <c r="Q84" s="1" t="s">
        <v>2628</v>
      </c>
      <c r="R84" s="10">
        <v>79</v>
      </c>
      <c r="S84" s="10">
        <v>116</v>
      </c>
      <c r="T84" s="1" t="s">
        <v>516</v>
      </c>
      <c r="U84" t="str">
        <f t="shared" si="6"/>
        <v>Invalid</v>
      </c>
      <c r="V84">
        <f t="shared" si="7"/>
        <v>2</v>
      </c>
      <c r="W84" t="str">
        <f t="shared" si="8"/>
        <v>Feb</v>
      </c>
      <c r="X84">
        <f t="shared" si="9"/>
        <v>2022</v>
      </c>
      <c r="Y84">
        <f t="shared" ca="1" si="10"/>
        <v>4</v>
      </c>
      <c r="Z84" t="str" cm="1">
        <f t="array" ref="Z84">_xlfn.IFS(G84&lt;30,"20-29",G84&lt;40,"30-39",G84&lt;50,"40-49",G84&gt;=50,"50+")</f>
        <v>40-49</v>
      </c>
      <c r="AA84" t="str" cm="1">
        <f t="array" ref="AA84">_xlfn.IFS(L84&lt;500000,"Band 1: &lt;5L", L84&lt;1000000,"Band 2: 5-10L", L84&lt;1500000,"Band 3: 10-15L", L84&lt;2000000,"Band 4: 15-20L", L84&gt;=2000000,"Band 5: 20L+")</f>
        <v>Band 5: 20L+</v>
      </c>
      <c r="AB84" t="str" cm="1">
        <f t="array" ref="AB84">_xlfn.IFS(N84=1,"Poor", N84=2,"Below Average", N84=3,"Average", N84=4,"Good", N84=5,"Excellent")</f>
        <v>Average</v>
      </c>
      <c r="AC84" s="14">
        <f t="shared" si="11"/>
        <v>20124.948500000002</v>
      </c>
      <c r="AD84" t="str" cm="1">
        <f t="array" ref="AD84">_xlfn.IFS(K84&lt;2,"Junior (0-2 yrs)", K84&lt;5,"Mid-Level (2-5 yrs)", K84&lt;10,"Senior (5-10 yrs)", K84&gt;=10,"Expert (10+ yrs)")</f>
        <v>Senior (5-10 yrs)</v>
      </c>
    </row>
    <row r="85" spans="1:30" x14ac:dyDescent="0.3">
      <c r="A85" s="1" t="s">
        <v>287</v>
      </c>
      <c r="B85" s="1" t="s">
        <v>673</v>
      </c>
      <c r="C85" s="1" t="s">
        <v>110</v>
      </c>
      <c r="D85" s="1" t="s">
        <v>101</v>
      </c>
      <c r="E85" s="1" t="s">
        <v>71</v>
      </c>
      <c r="F85" s="1" t="s">
        <v>93</v>
      </c>
      <c r="G85" s="1">
        <v>58</v>
      </c>
      <c r="H85" s="1" t="s">
        <v>218</v>
      </c>
      <c r="I85" s="1" t="s">
        <v>39</v>
      </c>
      <c r="J85" s="5">
        <v>44605</v>
      </c>
      <c r="K85" s="8">
        <v>2.7</v>
      </c>
      <c r="L85" s="11">
        <v>2037385</v>
      </c>
      <c r="M85" s="12">
        <v>0.21719999999999998</v>
      </c>
      <c r="N85" s="7">
        <v>5</v>
      </c>
      <c r="O85" s="1" t="s">
        <v>41</v>
      </c>
      <c r="P85" s="1">
        <v>8952902914</v>
      </c>
      <c r="Q85" s="1" t="s">
        <v>2629</v>
      </c>
      <c r="R85" s="10">
        <v>11</v>
      </c>
      <c r="S85" s="10">
        <v>58</v>
      </c>
      <c r="T85" s="1" t="s">
        <v>677</v>
      </c>
      <c r="U85" t="str">
        <f t="shared" si="6"/>
        <v>Valid</v>
      </c>
      <c r="V85">
        <f t="shared" si="7"/>
        <v>2</v>
      </c>
      <c r="W85" t="str">
        <f t="shared" si="8"/>
        <v>Feb</v>
      </c>
      <c r="X85">
        <f t="shared" si="9"/>
        <v>2022</v>
      </c>
      <c r="Y85">
        <f t="shared" ca="1" si="10"/>
        <v>4</v>
      </c>
      <c r="Z85" t="str" cm="1">
        <f t="array" ref="Z85">_xlfn.IFS(G85&lt;30,"20-29",G85&lt;40,"30-39",G85&lt;50,"40-49",G85&gt;=50,"50+")</f>
        <v>50+</v>
      </c>
      <c r="AA85" t="str" cm="1">
        <f t="array" ref="AA85">_xlfn.IFS(L85&lt;500000,"Band 1: &lt;5L", L85&lt;1000000,"Band 2: 5-10L", L85&lt;1500000,"Band 3: 10-15L", L85&lt;2000000,"Band 4: 15-20L", L85&gt;=2000000,"Band 5: 20L+")</f>
        <v>Band 5: 20L+</v>
      </c>
      <c r="AB85" t="str" cm="1">
        <f t="array" ref="AB85">_xlfn.IFS(N85=1,"Poor", N85=2,"Below Average", N85=3,"Average", N85=4,"Good", N85=5,"Excellent")</f>
        <v>Excellent</v>
      </c>
      <c r="AC85" s="14">
        <f t="shared" si="11"/>
        <v>442520.02199999994</v>
      </c>
      <c r="AD85" t="str" cm="1">
        <f t="array" ref="AD85">_xlfn.IFS(K85&lt;2,"Junior (0-2 yrs)", K85&lt;5,"Mid-Level (2-5 yrs)", K85&lt;10,"Senior (5-10 yrs)", K85&gt;=10,"Expert (10+ yrs)")</f>
        <v>Mid-Level (2-5 yrs)</v>
      </c>
    </row>
    <row r="86" spans="1:30" x14ac:dyDescent="0.3">
      <c r="A86" s="1" t="s">
        <v>66</v>
      </c>
      <c r="B86" s="1" t="s">
        <v>215</v>
      </c>
      <c r="C86" s="1" t="s">
        <v>46</v>
      </c>
      <c r="D86" s="1" t="s">
        <v>244</v>
      </c>
      <c r="E86" s="1" t="s">
        <v>60</v>
      </c>
      <c r="F86" s="1" t="s">
        <v>37</v>
      </c>
      <c r="G86" s="1">
        <v>41</v>
      </c>
      <c r="H86" s="1" t="s">
        <v>142</v>
      </c>
      <c r="I86" s="1" t="s">
        <v>51</v>
      </c>
      <c r="J86" s="5">
        <v>41878</v>
      </c>
      <c r="K86" s="8">
        <v>16.2</v>
      </c>
      <c r="L86" s="11">
        <v>2427833</v>
      </c>
      <c r="M86" s="12">
        <v>0.1573</v>
      </c>
      <c r="N86" s="7">
        <v>2</v>
      </c>
      <c r="O86" s="1" t="s">
        <v>41</v>
      </c>
      <c r="P86" s="1">
        <v>8321466224</v>
      </c>
      <c r="Q86" s="1" t="s">
        <v>2630</v>
      </c>
      <c r="R86" s="10">
        <v>33</v>
      </c>
      <c r="S86" s="10">
        <v>100</v>
      </c>
      <c r="T86" s="1" t="s">
        <v>147</v>
      </c>
      <c r="U86" t="str">
        <f t="shared" si="6"/>
        <v>Valid</v>
      </c>
      <c r="V86">
        <f t="shared" si="7"/>
        <v>8</v>
      </c>
      <c r="W86" t="str">
        <f t="shared" si="8"/>
        <v>Aug</v>
      </c>
      <c r="X86">
        <f t="shared" si="9"/>
        <v>2014</v>
      </c>
      <c r="Y86">
        <f t="shared" ca="1" si="10"/>
        <v>11</v>
      </c>
      <c r="Z86" t="str" cm="1">
        <f t="array" ref="Z86">_xlfn.IFS(G86&lt;30,"20-29",G86&lt;40,"30-39",G86&lt;50,"40-49",G86&gt;=50,"50+")</f>
        <v>40-49</v>
      </c>
      <c r="AA86" t="str" cm="1">
        <f t="array" ref="AA86">_xlfn.IFS(L86&lt;500000,"Band 1: &lt;5L", L86&lt;1000000,"Band 2: 5-10L", L86&lt;1500000,"Band 3: 10-15L", L86&lt;2000000,"Band 4: 15-20L", L86&gt;=2000000,"Band 5: 20L+")</f>
        <v>Band 5: 20L+</v>
      </c>
      <c r="AB86" t="str" cm="1">
        <f t="array" ref="AB86">_xlfn.IFS(N86=1,"Poor", N86=2,"Below Average", N86=3,"Average", N86=4,"Good", N86=5,"Excellent")</f>
        <v>Below Average</v>
      </c>
      <c r="AC86" s="14">
        <f t="shared" si="11"/>
        <v>381898.13089999999</v>
      </c>
      <c r="AD86" t="str" cm="1">
        <f t="array" ref="AD86">_xlfn.IFS(K86&lt;2,"Junior (0-2 yrs)", K86&lt;5,"Mid-Level (2-5 yrs)", K86&lt;10,"Senior (5-10 yrs)", K86&gt;=10,"Expert (10+ yrs)")</f>
        <v>Expert (10+ yrs)</v>
      </c>
    </row>
    <row r="87" spans="1:30" x14ac:dyDescent="0.3">
      <c r="A87" s="1" t="s">
        <v>686</v>
      </c>
      <c r="B87" s="1" t="s">
        <v>687</v>
      </c>
      <c r="C87" s="1" t="s">
        <v>58</v>
      </c>
      <c r="D87" s="1" t="s">
        <v>23</v>
      </c>
      <c r="E87" s="1" t="s">
        <v>24</v>
      </c>
      <c r="F87" s="1" t="s">
        <v>93</v>
      </c>
      <c r="G87" s="1">
        <v>34</v>
      </c>
      <c r="H87" s="1" t="s">
        <v>103</v>
      </c>
      <c r="I87" s="1" t="s">
        <v>198</v>
      </c>
      <c r="J87" s="5">
        <v>42060</v>
      </c>
      <c r="K87" s="8">
        <v>24.8</v>
      </c>
      <c r="L87" s="11">
        <v>1947927</v>
      </c>
      <c r="M87" s="12">
        <v>0.12470000000000001</v>
      </c>
      <c r="N87" s="7">
        <v>5</v>
      </c>
      <c r="O87" s="1" t="s">
        <v>41</v>
      </c>
      <c r="P87" s="1">
        <v>8964465977</v>
      </c>
      <c r="Q87" s="1" t="s">
        <v>2631</v>
      </c>
      <c r="R87" s="10">
        <v>6</v>
      </c>
      <c r="S87" s="10">
        <v>55</v>
      </c>
      <c r="T87" s="1" t="s">
        <v>89</v>
      </c>
      <c r="U87" t="str">
        <f t="shared" si="6"/>
        <v>Valid</v>
      </c>
      <c r="V87">
        <f t="shared" si="7"/>
        <v>2</v>
      </c>
      <c r="W87" t="str">
        <f t="shared" si="8"/>
        <v>Feb</v>
      </c>
      <c r="X87">
        <f t="shared" si="9"/>
        <v>2015</v>
      </c>
      <c r="Y87">
        <f t="shared" ca="1" si="10"/>
        <v>11</v>
      </c>
      <c r="Z87" t="str" cm="1">
        <f t="array" ref="Z87">_xlfn.IFS(G87&lt;30,"20-29",G87&lt;40,"30-39",G87&lt;50,"40-49",G87&gt;=50,"50+")</f>
        <v>30-39</v>
      </c>
      <c r="AA87" t="str" cm="1">
        <f t="array" ref="AA87">_xlfn.IFS(L87&lt;500000,"Band 1: &lt;5L", L87&lt;1000000,"Band 2: 5-10L", L87&lt;1500000,"Band 3: 10-15L", L87&lt;2000000,"Band 4: 15-20L", L87&gt;=2000000,"Band 5: 20L+")</f>
        <v>Band 4: 15-20L</v>
      </c>
      <c r="AB87" t="str" cm="1">
        <f t="array" ref="AB87">_xlfn.IFS(N87=1,"Poor", N87=2,"Below Average", N87=3,"Average", N87=4,"Good", N87=5,"Excellent")</f>
        <v>Excellent</v>
      </c>
      <c r="AC87" s="14">
        <f t="shared" si="11"/>
        <v>242906.4969</v>
      </c>
      <c r="AD87" t="str" cm="1">
        <f t="array" ref="AD87">_xlfn.IFS(K87&lt;2,"Junior (0-2 yrs)", K87&lt;5,"Mid-Level (2-5 yrs)", K87&lt;10,"Senior (5-10 yrs)", K87&gt;=10,"Expert (10+ yrs)")</f>
        <v>Expert (10+ yrs)</v>
      </c>
    </row>
    <row r="88" spans="1:30" x14ac:dyDescent="0.3">
      <c r="A88" s="1" t="s">
        <v>691</v>
      </c>
      <c r="B88" s="1" t="s">
        <v>692</v>
      </c>
      <c r="C88" s="1" t="s">
        <v>124</v>
      </c>
      <c r="D88" s="1" t="s">
        <v>101</v>
      </c>
      <c r="E88" s="1" t="s">
        <v>48</v>
      </c>
      <c r="F88" s="1" t="s">
        <v>93</v>
      </c>
      <c r="G88" s="1">
        <v>25</v>
      </c>
      <c r="H88" s="1" t="s">
        <v>73</v>
      </c>
      <c r="I88" s="1" t="s">
        <v>39</v>
      </c>
      <c r="J88" s="5">
        <v>44488</v>
      </c>
      <c r="K88" s="8">
        <v>8.9</v>
      </c>
      <c r="L88" s="11">
        <v>1047627</v>
      </c>
      <c r="M88" s="12">
        <v>8.0700000000000008E-2</v>
      </c>
      <c r="N88" s="7">
        <v>3</v>
      </c>
      <c r="O88" s="1" t="s">
        <v>41</v>
      </c>
      <c r="P88" s="1">
        <v>8546998451</v>
      </c>
      <c r="Q88" s="1" t="s">
        <v>2532</v>
      </c>
      <c r="R88" s="10">
        <v>8</v>
      </c>
      <c r="S88" s="10">
        <v>107</v>
      </c>
      <c r="T88" s="1" t="s">
        <v>696</v>
      </c>
      <c r="U88" t="str">
        <f t="shared" si="6"/>
        <v>Invalid</v>
      </c>
      <c r="V88">
        <f t="shared" si="7"/>
        <v>10</v>
      </c>
      <c r="W88" t="str">
        <f t="shared" si="8"/>
        <v>Oct</v>
      </c>
      <c r="X88">
        <f t="shared" si="9"/>
        <v>2021</v>
      </c>
      <c r="Y88">
        <f t="shared" ca="1" si="10"/>
        <v>4</v>
      </c>
      <c r="Z88" t="str" cm="1">
        <f t="array" ref="Z88">_xlfn.IFS(G88&lt;30,"20-29",G88&lt;40,"30-39",G88&lt;50,"40-49",G88&gt;=50,"50+")</f>
        <v>20-29</v>
      </c>
      <c r="AA88" t="str" cm="1">
        <f t="array" ref="AA88">_xlfn.IFS(L88&lt;500000,"Band 1: &lt;5L", L88&lt;1000000,"Band 2: 5-10L", L88&lt;1500000,"Band 3: 10-15L", L88&lt;2000000,"Band 4: 15-20L", L88&gt;=2000000,"Band 5: 20L+")</f>
        <v>Band 3: 10-15L</v>
      </c>
      <c r="AB88" t="str" cm="1">
        <f t="array" ref="AB88">_xlfn.IFS(N88=1,"Poor", N88=2,"Below Average", N88=3,"Average", N88=4,"Good", N88=5,"Excellent")</f>
        <v>Average</v>
      </c>
      <c r="AC88" s="14">
        <f t="shared" si="11"/>
        <v>84543.498900000006</v>
      </c>
      <c r="AD88" t="str" cm="1">
        <f t="array" ref="AD88">_xlfn.IFS(K88&lt;2,"Junior (0-2 yrs)", K88&lt;5,"Mid-Level (2-5 yrs)", K88&lt;10,"Senior (5-10 yrs)", K88&gt;=10,"Expert (10+ yrs)")</f>
        <v>Senior (5-10 yrs)</v>
      </c>
    </row>
    <row r="89" spans="1:30" x14ac:dyDescent="0.3">
      <c r="A89" s="1" t="s">
        <v>697</v>
      </c>
      <c r="B89" s="1" t="s">
        <v>698</v>
      </c>
      <c r="C89" s="1" t="s">
        <v>110</v>
      </c>
      <c r="D89" s="1" t="s">
        <v>23</v>
      </c>
      <c r="E89" s="1" t="s">
        <v>60</v>
      </c>
      <c r="F89" s="1" t="s">
        <v>93</v>
      </c>
      <c r="G89" s="1">
        <v>40</v>
      </c>
      <c r="H89" s="1" t="s">
        <v>204</v>
      </c>
      <c r="I89" s="1" t="s">
        <v>51</v>
      </c>
      <c r="J89" s="5">
        <v>41832</v>
      </c>
      <c r="K89" s="8">
        <v>23.6</v>
      </c>
      <c r="L89" s="11">
        <v>2359433</v>
      </c>
      <c r="M89" s="12">
        <v>0.23569999999999999</v>
      </c>
      <c r="N89" s="7">
        <v>5</v>
      </c>
      <c r="O89" s="1" t="s">
        <v>76</v>
      </c>
      <c r="P89" s="1">
        <v>7772781491</v>
      </c>
      <c r="Q89" s="1" t="s">
        <v>2632</v>
      </c>
      <c r="R89" s="10">
        <v>37</v>
      </c>
      <c r="S89" s="10">
        <v>8</v>
      </c>
      <c r="T89" s="1" t="s">
        <v>702</v>
      </c>
      <c r="U89" t="str">
        <f t="shared" si="6"/>
        <v>Valid</v>
      </c>
      <c r="V89">
        <f t="shared" si="7"/>
        <v>7</v>
      </c>
      <c r="W89" t="str">
        <f t="shared" si="8"/>
        <v>Jul</v>
      </c>
      <c r="X89">
        <f t="shared" si="9"/>
        <v>2014</v>
      </c>
      <c r="Y89">
        <f t="shared" ca="1" si="10"/>
        <v>11</v>
      </c>
      <c r="Z89" t="str" cm="1">
        <f t="array" ref="Z89">_xlfn.IFS(G89&lt;30,"20-29",G89&lt;40,"30-39",G89&lt;50,"40-49",G89&gt;=50,"50+")</f>
        <v>40-49</v>
      </c>
      <c r="AA89" t="str" cm="1">
        <f t="array" ref="AA89">_xlfn.IFS(L89&lt;500000,"Band 1: &lt;5L", L89&lt;1000000,"Band 2: 5-10L", L89&lt;1500000,"Band 3: 10-15L", L89&lt;2000000,"Band 4: 15-20L", L89&gt;=2000000,"Band 5: 20L+")</f>
        <v>Band 5: 20L+</v>
      </c>
      <c r="AB89" t="str" cm="1">
        <f t="array" ref="AB89">_xlfn.IFS(N89=1,"Poor", N89=2,"Below Average", N89=3,"Average", N89=4,"Good", N89=5,"Excellent")</f>
        <v>Excellent</v>
      </c>
      <c r="AC89" s="14">
        <f t="shared" si="11"/>
        <v>556118.35809999995</v>
      </c>
      <c r="AD89" t="str" cm="1">
        <f t="array" ref="AD89">_xlfn.IFS(K89&lt;2,"Junior (0-2 yrs)", K89&lt;5,"Mid-Level (2-5 yrs)", K89&lt;10,"Senior (5-10 yrs)", K89&gt;=10,"Expert (10+ yrs)")</f>
        <v>Expert (10+ yrs)</v>
      </c>
    </row>
    <row r="90" spans="1:30" x14ac:dyDescent="0.3">
      <c r="A90" s="1" t="s">
        <v>43</v>
      </c>
      <c r="B90" s="1" t="s">
        <v>703</v>
      </c>
      <c r="C90" s="1" t="s">
        <v>124</v>
      </c>
      <c r="D90" s="1" t="s">
        <v>244</v>
      </c>
      <c r="E90" s="1" t="s">
        <v>60</v>
      </c>
      <c r="F90" s="1" t="s">
        <v>93</v>
      </c>
      <c r="G90" s="1">
        <v>58</v>
      </c>
      <c r="H90" s="1" t="s">
        <v>50</v>
      </c>
      <c r="I90" s="1" t="s">
        <v>39</v>
      </c>
      <c r="J90" s="5">
        <v>44934</v>
      </c>
      <c r="K90" s="8">
        <v>15.5</v>
      </c>
      <c r="L90" s="11">
        <v>783744</v>
      </c>
      <c r="M90" s="12">
        <v>0.1048</v>
      </c>
      <c r="N90" s="7">
        <v>3</v>
      </c>
      <c r="O90" s="1" t="s">
        <v>41</v>
      </c>
      <c r="P90" s="1">
        <v>7151885397</v>
      </c>
      <c r="Q90" s="1" t="s">
        <v>2633</v>
      </c>
      <c r="R90" s="10">
        <v>53</v>
      </c>
      <c r="S90" s="10">
        <v>40</v>
      </c>
      <c r="T90" s="1" t="s">
        <v>335</v>
      </c>
      <c r="U90" t="str">
        <f t="shared" si="6"/>
        <v>Valid</v>
      </c>
      <c r="V90">
        <f t="shared" si="7"/>
        <v>1</v>
      </c>
      <c r="W90" t="str">
        <f t="shared" si="8"/>
        <v>Jan</v>
      </c>
      <c r="X90">
        <f t="shared" si="9"/>
        <v>2023</v>
      </c>
      <c r="Y90">
        <f t="shared" ca="1" si="10"/>
        <v>3</v>
      </c>
      <c r="Z90" t="str" cm="1">
        <f t="array" ref="Z90">_xlfn.IFS(G90&lt;30,"20-29",G90&lt;40,"30-39",G90&lt;50,"40-49",G90&gt;=50,"50+")</f>
        <v>50+</v>
      </c>
      <c r="AA90" t="str" cm="1">
        <f t="array" ref="AA90">_xlfn.IFS(L90&lt;500000,"Band 1: &lt;5L", L90&lt;1000000,"Band 2: 5-10L", L90&lt;1500000,"Band 3: 10-15L", L90&lt;2000000,"Band 4: 15-20L", L90&gt;=2000000,"Band 5: 20L+")</f>
        <v>Band 2: 5-10L</v>
      </c>
      <c r="AB90" t="str" cm="1">
        <f t="array" ref="AB90">_xlfn.IFS(N90=1,"Poor", N90=2,"Below Average", N90=3,"Average", N90=4,"Good", N90=5,"Excellent")</f>
        <v>Average</v>
      </c>
      <c r="AC90" s="14">
        <f t="shared" si="11"/>
        <v>82136.371200000009</v>
      </c>
      <c r="AD90" t="str" cm="1">
        <f t="array" ref="AD90">_xlfn.IFS(K90&lt;2,"Junior (0-2 yrs)", K90&lt;5,"Mid-Level (2-5 yrs)", K90&lt;10,"Senior (5-10 yrs)", K90&gt;=10,"Expert (10+ yrs)")</f>
        <v>Expert (10+ yrs)</v>
      </c>
    </row>
    <row r="91" spans="1:30" x14ac:dyDescent="0.3">
      <c r="A91" s="1" t="s">
        <v>707</v>
      </c>
      <c r="B91" s="1" t="s">
        <v>708</v>
      </c>
      <c r="C91" s="1" t="s">
        <v>46</v>
      </c>
      <c r="D91" s="1" t="s">
        <v>23</v>
      </c>
      <c r="E91" s="1" t="s">
        <v>189</v>
      </c>
      <c r="F91" s="1" t="s">
        <v>37</v>
      </c>
      <c r="G91" s="1">
        <v>40</v>
      </c>
      <c r="H91" s="1" t="s">
        <v>218</v>
      </c>
      <c r="I91" s="1" t="s">
        <v>51</v>
      </c>
      <c r="J91" s="5">
        <v>44143</v>
      </c>
      <c r="K91" s="8">
        <v>21.6</v>
      </c>
      <c r="L91" s="11">
        <v>657496</v>
      </c>
      <c r="M91" s="12">
        <v>0.22450000000000001</v>
      </c>
      <c r="N91" s="7">
        <v>4</v>
      </c>
      <c r="O91" s="1" t="s">
        <v>41</v>
      </c>
      <c r="P91" s="1">
        <v>7592681126</v>
      </c>
      <c r="Q91" s="1" t="s">
        <v>2634</v>
      </c>
      <c r="R91" s="10">
        <v>66</v>
      </c>
      <c r="S91" s="10">
        <v>46</v>
      </c>
      <c r="T91" s="1" t="s">
        <v>543</v>
      </c>
      <c r="U91" t="str">
        <f t="shared" si="6"/>
        <v>Valid</v>
      </c>
      <c r="V91">
        <f t="shared" si="7"/>
        <v>11</v>
      </c>
      <c r="W91" t="str">
        <f t="shared" si="8"/>
        <v>Nov</v>
      </c>
      <c r="X91">
        <f t="shared" si="9"/>
        <v>2020</v>
      </c>
      <c r="Y91">
        <f t="shared" ca="1" si="10"/>
        <v>5</v>
      </c>
      <c r="Z91" t="str" cm="1">
        <f t="array" ref="Z91">_xlfn.IFS(G91&lt;30,"20-29",G91&lt;40,"30-39",G91&lt;50,"40-49",G91&gt;=50,"50+")</f>
        <v>40-49</v>
      </c>
      <c r="AA91" t="str" cm="1">
        <f t="array" ref="AA91">_xlfn.IFS(L91&lt;500000,"Band 1: &lt;5L", L91&lt;1000000,"Band 2: 5-10L", L91&lt;1500000,"Band 3: 10-15L", L91&lt;2000000,"Band 4: 15-20L", L91&gt;=2000000,"Band 5: 20L+")</f>
        <v>Band 2: 5-10L</v>
      </c>
      <c r="AB91" t="str" cm="1">
        <f t="array" ref="AB91">_xlfn.IFS(N91=1,"Poor", N91=2,"Below Average", N91=3,"Average", N91=4,"Good", N91=5,"Excellent")</f>
        <v>Good</v>
      </c>
      <c r="AC91" s="14">
        <f t="shared" si="11"/>
        <v>147607.85200000001</v>
      </c>
      <c r="AD91" t="str" cm="1">
        <f t="array" ref="AD91">_xlfn.IFS(K91&lt;2,"Junior (0-2 yrs)", K91&lt;5,"Mid-Level (2-5 yrs)", K91&lt;10,"Senior (5-10 yrs)", K91&gt;=10,"Expert (10+ yrs)")</f>
        <v>Expert (10+ yrs)</v>
      </c>
    </row>
    <row r="92" spans="1:30" x14ac:dyDescent="0.3">
      <c r="A92" s="1" t="s">
        <v>653</v>
      </c>
      <c r="B92" s="1" t="s">
        <v>723</v>
      </c>
      <c r="C92" s="1" t="s">
        <v>110</v>
      </c>
      <c r="D92" s="1" t="s">
        <v>101</v>
      </c>
      <c r="E92" s="1" t="s">
        <v>290</v>
      </c>
      <c r="F92" s="1" t="s">
        <v>37</v>
      </c>
      <c r="G92" s="1">
        <v>38</v>
      </c>
      <c r="H92" s="1" t="s">
        <v>26</v>
      </c>
      <c r="I92" s="1" t="s">
        <v>198</v>
      </c>
      <c r="J92" s="5">
        <v>41853</v>
      </c>
      <c r="K92" s="8">
        <v>27.2</v>
      </c>
      <c r="L92" s="11">
        <v>873693</v>
      </c>
      <c r="M92" s="12">
        <v>0.1966</v>
      </c>
      <c r="N92" s="7">
        <v>3</v>
      </c>
      <c r="O92" s="1" t="s">
        <v>41</v>
      </c>
      <c r="P92" s="1">
        <v>8403247962</v>
      </c>
      <c r="Q92" s="1" t="s">
        <v>2635</v>
      </c>
      <c r="R92" s="10">
        <v>46</v>
      </c>
      <c r="S92" s="10">
        <v>116</v>
      </c>
      <c r="T92" s="1" t="s">
        <v>335</v>
      </c>
      <c r="U92" t="str">
        <f t="shared" si="6"/>
        <v>Valid</v>
      </c>
      <c r="V92">
        <f t="shared" si="7"/>
        <v>8</v>
      </c>
      <c r="W92" t="str">
        <f t="shared" si="8"/>
        <v>Aug</v>
      </c>
      <c r="X92">
        <f t="shared" si="9"/>
        <v>2014</v>
      </c>
      <c r="Y92">
        <f t="shared" ca="1" si="10"/>
        <v>11</v>
      </c>
      <c r="Z92" t="str" cm="1">
        <f t="array" ref="Z92">_xlfn.IFS(G92&lt;30,"20-29",G92&lt;40,"30-39",G92&lt;50,"40-49",G92&gt;=50,"50+")</f>
        <v>30-39</v>
      </c>
      <c r="AA92" t="str" cm="1">
        <f t="array" ref="AA92">_xlfn.IFS(L92&lt;500000,"Band 1: &lt;5L", L92&lt;1000000,"Band 2: 5-10L", L92&lt;1500000,"Band 3: 10-15L", L92&lt;2000000,"Band 4: 15-20L", L92&gt;=2000000,"Band 5: 20L+")</f>
        <v>Band 2: 5-10L</v>
      </c>
      <c r="AB92" t="str" cm="1">
        <f t="array" ref="AB92">_xlfn.IFS(N92=1,"Poor", N92=2,"Below Average", N92=3,"Average", N92=4,"Good", N92=5,"Excellent")</f>
        <v>Average</v>
      </c>
      <c r="AC92" s="14">
        <f t="shared" si="11"/>
        <v>171768.04379999998</v>
      </c>
      <c r="AD92" t="str" cm="1">
        <f t="array" ref="AD92">_xlfn.IFS(K92&lt;2,"Junior (0-2 yrs)", K92&lt;5,"Mid-Level (2-5 yrs)", K92&lt;10,"Senior (5-10 yrs)", K92&gt;=10,"Expert (10+ yrs)")</f>
        <v>Expert (10+ yrs)</v>
      </c>
    </row>
    <row r="93" spans="1:30" x14ac:dyDescent="0.3">
      <c r="A93" s="1" t="s">
        <v>727</v>
      </c>
      <c r="B93" s="1" t="s">
        <v>728</v>
      </c>
      <c r="C93" s="1" t="s">
        <v>69</v>
      </c>
      <c r="D93" s="1" t="s">
        <v>23</v>
      </c>
      <c r="E93" s="1" t="s">
        <v>71</v>
      </c>
      <c r="F93" s="1" t="s">
        <v>37</v>
      </c>
      <c r="G93" s="1">
        <v>34</v>
      </c>
      <c r="H93" s="1" t="s">
        <v>38</v>
      </c>
      <c r="I93" s="1" t="s">
        <v>27</v>
      </c>
      <c r="J93" s="5">
        <v>40951</v>
      </c>
      <c r="K93" s="8">
        <v>18.7</v>
      </c>
      <c r="L93" s="11">
        <v>1007813</v>
      </c>
      <c r="M93" s="12">
        <v>0.1235</v>
      </c>
      <c r="N93" s="7">
        <v>5</v>
      </c>
      <c r="O93" s="1" t="s">
        <v>76</v>
      </c>
      <c r="P93" s="1">
        <v>8868992531</v>
      </c>
      <c r="Q93" s="1" t="s">
        <v>2533</v>
      </c>
      <c r="R93" s="10">
        <v>26</v>
      </c>
      <c r="S93" s="10">
        <v>110</v>
      </c>
      <c r="T93" s="1" t="s">
        <v>335</v>
      </c>
      <c r="U93" t="str">
        <f t="shared" si="6"/>
        <v>Invalid</v>
      </c>
      <c r="V93">
        <f t="shared" si="7"/>
        <v>2</v>
      </c>
      <c r="W93" t="str">
        <f t="shared" si="8"/>
        <v>Feb</v>
      </c>
      <c r="X93">
        <f t="shared" si="9"/>
        <v>2012</v>
      </c>
      <c r="Y93">
        <f t="shared" ca="1" si="10"/>
        <v>14</v>
      </c>
      <c r="Z93" t="str" cm="1">
        <f t="array" ref="Z93">_xlfn.IFS(G93&lt;30,"20-29",G93&lt;40,"30-39",G93&lt;50,"40-49",G93&gt;=50,"50+")</f>
        <v>30-39</v>
      </c>
      <c r="AA93" t="str" cm="1">
        <f t="array" ref="AA93">_xlfn.IFS(L93&lt;500000,"Band 1: &lt;5L", L93&lt;1000000,"Band 2: 5-10L", L93&lt;1500000,"Band 3: 10-15L", L93&lt;2000000,"Band 4: 15-20L", L93&gt;=2000000,"Band 5: 20L+")</f>
        <v>Band 3: 10-15L</v>
      </c>
      <c r="AB93" t="str" cm="1">
        <f t="array" ref="AB93">_xlfn.IFS(N93=1,"Poor", N93=2,"Below Average", N93=3,"Average", N93=4,"Good", N93=5,"Excellent")</f>
        <v>Excellent</v>
      </c>
      <c r="AC93" s="14">
        <f t="shared" si="11"/>
        <v>124464.90549999999</v>
      </c>
      <c r="AD93" t="str" cm="1">
        <f t="array" ref="AD93">_xlfn.IFS(K93&lt;2,"Junior (0-2 yrs)", K93&lt;5,"Mid-Level (2-5 yrs)", K93&lt;10,"Senior (5-10 yrs)", K93&gt;=10,"Expert (10+ yrs)")</f>
        <v>Expert (10+ yrs)</v>
      </c>
    </row>
    <row r="94" spans="1:30" x14ac:dyDescent="0.3">
      <c r="A94" s="1" t="s">
        <v>737</v>
      </c>
      <c r="B94" s="1" t="s">
        <v>738</v>
      </c>
      <c r="C94" s="1" t="s">
        <v>58</v>
      </c>
      <c r="D94" s="1" t="s">
        <v>101</v>
      </c>
      <c r="E94" s="1" t="s">
        <v>24</v>
      </c>
      <c r="F94" s="1" t="s">
        <v>93</v>
      </c>
      <c r="G94" s="1">
        <v>55</v>
      </c>
      <c r="H94" s="1" t="s">
        <v>26</v>
      </c>
      <c r="I94" s="1" t="s">
        <v>39</v>
      </c>
      <c r="J94" s="5">
        <v>43056</v>
      </c>
      <c r="K94" s="8">
        <v>4.0999999999999996</v>
      </c>
      <c r="L94" s="11">
        <v>1345213</v>
      </c>
      <c r="M94" s="12">
        <v>0.22670000000000001</v>
      </c>
      <c r="N94" s="7">
        <v>5</v>
      </c>
      <c r="O94" s="1" t="s">
        <v>41</v>
      </c>
      <c r="P94" s="1">
        <v>9631321682</v>
      </c>
      <c r="Q94" s="1" t="s">
        <v>2636</v>
      </c>
      <c r="R94" s="10">
        <v>20</v>
      </c>
      <c r="S94" s="10">
        <v>60</v>
      </c>
      <c r="T94" s="1" t="s">
        <v>457</v>
      </c>
      <c r="U94" t="str">
        <f t="shared" si="6"/>
        <v>Invalid</v>
      </c>
      <c r="V94">
        <f t="shared" si="7"/>
        <v>11</v>
      </c>
      <c r="W94" t="str">
        <f t="shared" si="8"/>
        <v>Nov</v>
      </c>
      <c r="X94">
        <f t="shared" si="9"/>
        <v>2017</v>
      </c>
      <c r="Y94">
        <f t="shared" ca="1" si="10"/>
        <v>8</v>
      </c>
      <c r="Z94" t="str" cm="1">
        <f t="array" ref="Z94">_xlfn.IFS(G94&lt;30,"20-29",G94&lt;40,"30-39",G94&lt;50,"40-49",G94&gt;=50,"50+")</f>
        <v>50+</v>
      </c>
      <c r="AA94" t="str" cm="1">
        <f t="array" ref="AA94">_xlfn.IFS(L94&lt;500000,"Band 1: &lt;5L", L94&lt;1000000,"Band 2: 5-10L", L94&lt;1500000,"Band 3: 10-15L", L94&lt;2000000,"Band 4: 15-20L", L94&gt;=2000000,"Band 5: 20L+")</f>
        <v>Band 3: 10-15L</v>
      </c>
      <c r="AB94" t="str" cm="1">
        <f t="array" ref="AB94">_xlfn.IFS(N94=1,"Poor", N94=2,"Below Average", N94=3,"Average", N94=4,"Good", N94=5,"Excellent")</f>
        <v>Excellent</v>
      </c>
      <c r="AC94" s="14">
        <f t="shared" si="11"/>
        <v>304959.78710000002</v>
      </c>
      <c r="AD94" t="str" cm="1">
        <f t="array" ref="AD94">_xlfn.IFS(K94&lt;2,"Junior (0-2 yrs)", K94&lt;5,"Mid-Level (2-5 yrs)", K94&lt;10,"Senior (5-10 yrs)", K94&gt;=10,"Expert (10+ yrs)")</f>
        <v>Mid-Level (2-5 yrs)</v>
      </c>
    </row>
    <row r="95" spans="1:30" x14ac:dyDescent="0.3">
      <c r="A95" s="1" t="s">
        <v>742</v>
      </c>
      <c r="B95" s="1" t="s">
        <v>743</v>
      </c>
      <c r="C95" s="1" t="s">
        <v>46</v>
      </c>
      <c r="D95" s="1" t="s">
        <v>83</v>
      </c>
      <c r="E95" s="1" t="s">
        <v>24</v>
      </c>
      <c r="F95" s="1" t="s">
        <v>37</v>
      </c>
      <c r="G95" s="1">
        <v>44</v>
      </c>
      <c r="H95" s="1" t="s">
        <v>73</v>
      </c>
      <c r="I95" s="1" t="s">
        <v>51</v>
      </c>
      <c r="J95" s="5">
        <v>40464</v>
      </c>
      <c r="K95" s="8">
        <v>19.100000000000001</v>
      </c>
      <c r="L95" s="11">
        <v>2493800</v>
      </c>
      <c r="M95" s="12">
        <v>5.1900000000000002E-2</v>
      </c>
      <c r="N95" s="7">
        <v>5</v>
      </c>
      <c r="O95" s="1" t="s">
        <v>76</v>
      </c>
      <c r="P95" s="1">
        <v>8490016614</v>
      </c>
      <c r="Q95" s="1" t="s">
        <v>2637</v>
      </c>
      <c r="R95" s="10">
        <v>64</v>
      </c>
      <c r="S95" s="10">
        <v>95</v>
      </c>
      <c r="T95" s="1" t="s">
        <v>335</v>
      </c>
      <c r="U95" t="str">
        <f t="shared" si="6"/>
        <v>Invalid</v>
      </c>
      <c r="V95">
        <f t="shared" si="7"/>
        <v>10</v>
      </c>
      <c r="W95" t="str">
        <f t="shared" si="8"/>
        <v>Oct</v>
      </c>
      <c r="X95">
        <f t="shared" si="9"/>
        <v>2010</v>
      </c>
      <c r="Y95">
        <f t="shared" ca="1" si="10"/>
        <v>15</v>
      </c>
      <c r="Z95" t="str" cm="1">
        <f t="array" ref="Z95">_xlfn.IFS(G95&lt;30,"20-29",G95&lt;40,"30-39",G95&lt;50,"40-49",G95&gt;=50,"50+")</f>
        <v>40-49</v>
      </c>
      <c r="AA95" t="str" cm="1">
        <f t="array" ref="AA95">_xlfn.IFS(L95&lt;500000,"Band 1: &lt;5L", L95&lt;1000000,"Band 2: 5-10L", L95&lt;1500000,"Band 3: 10-15L", L95&lt;2000000,"Band 4: 15-20L", L95&gt;=2000000,"Band 5: 20L+")</f>
        <v>Band 5: 20L+</v>
      </c>
      <c r="AB95" t="str" cm="1">
        <f t="array" ref="AB95">_xlfn.IFS(N95=1,"Poor", N95=2,"Below Average", N95=3,"Average", N95=4,"Good", N95=5,"Excellent")</f>
        <v>Excellent</v>
      </c>
      <c r="AC95" s="14">
        <f t="shared" si="11"/>
        <v>129428.22</v>
      </c>
      <c r="AD95" t="str" cm="1">
        <f t="array" ref="AD95">_xlfn.IFS(K95&lt;2,"Junior (0-2 yrs)", K95&lt;5,"Mid-Level (2-5 yrs)", K95&lt;10,"Senior (5-10 yrs)", K95&gt;=10,"Expert (10+ yrs)")</f>
        <v>Expert (10+ yrs)</v>
      </c>
    </row>
    <row r="96" spans="1:30" x14ac:dyDescent="0.3">
      <c r="A96" s="1" t="s">
        <v>747</v>
      </c>
      <c r="B96" s="1" t="s">
        <v>748</v>
      </c>
      <c r="C96" s="1" t="s">
        <v>69</v>
      </c>
      <c r="D96" s="1" t="s">
        <v>244</v>
      </c>
      <c r="E96" s="1" t="s">
        <v>60</v>
      </c>
      <c r="F96" s="1" t="s">
        <v>37</v>
      </c>
      <c r="G96" s="1">
        <v>33</v>
      </c>
      <c r="H96" s="1" t="s">
        <v>26</v>
      </c>
      <c r="I96" s="1" t="s">
        <v>74</v>
      </c>
      <c r="J96" s="5">
        <v>41548</v>
      </c>
      <c r="K96" s="8">
        <v>17.100000000000001</v>
      </c>
      <c r="L96" s="11">
        <v>2433800</v>
      </c>
      <c r="M96" s="12">
        <v>8.2200000000000009E-2</v>
      </c>
      <c r="N96" s="7">
        <v>5</v>
      </c>
      <c r="O96" s="1" t="s">
        <v>41</v>
      </c>
      <c r="P96" s="1">
        <v>8057238139</v>
      </c>
      <c r="Q96" s="1" t="s">
        <v>2638</v>
      </c>
      <c r="R96" s="10">
        <v>15</v>
      </c>
      <c r="S96" s="10">
        <v>75</v>
      </c>
      <c r="T96" s="1" t="s">
        <v>573</v>
      </c>
      <c r="U96" t="str">
        <f t="shared" si="6"/>
        <v>Valid</v>
      </c>
      <c r="V96">
        <f t="shared" si="7"/>
        <v>10</v>
      </c>
      <c r="W96" t="str">
        <f t="shared" si="8"/>
        <v>Oct</v>
      </c>
      <c r="X96">
        <f t="shared" si="9"/>
        <v>2013</v>
      </c>
      <c r="Y96">
        <f t="shared" ca="1" si="10"/>
        <v>12</v>
      </c>
      <c r="Z96" t="str" cm="1">
        <f t="array" ref="Z96">_xlfn.IFS(G96&lt;30,"20-29",G96&lt;40,"30-39",G96&lt;50,"40-49",G96&gt;=50,"50+")</f>
        <v>30-39</v>
      </c>
      <c r="AA96" t="str" cm="1">
        <f t="array" ref="AA96">_xlfn.IFS(L96&lt;500000,"Band 1: &lt;5L", L96&lt;1000000,"Band 2: 5-10L", L96&lt;1500000,"Band 3: 10-15L", L96&lt;2000000,"Band 4: 15-20L", L96&gt;=2000000,"Band 5: 20L+")</f>
        <v>Band 5: 20L+</v>
      </c>
      <c r="AB96" t="str" cm="1">
        <f t="array" ref="AB96">_xlfn.IFS(N96=1,"Poor", N96=2,"Below Average", N96=3,"Average", N96=4,"Good", N96=5,"Excellent")</f>
        <v>Excellent</v>
      </c>
      <c r="AC96" s="14">
        <f t="shared" si="11"/>
        <v>200058.36000000002</v>
      </c>
      <c r="AD96" t="str" cm="1">
        <f t="array" ref="AD96">_xlfn.IFS(K96&lt;2,"Junior (0-2 yrs)", K96&lt;5,"Mid-Level (2-5 yrs)", K96&lt;10,"Senior (5-10 yrs)", K96&gt;=10,"Expert (10+ yrs)")</f>
        <v>Expert (10+ yrs)</v>
      </c>
    </row>
    <row r="97" spans="1:30" x14ac:dyDescent="0.3">
      <c r="A97" s="1" t="s">
        <v>751</v>
      </c>
      <c r="B97" s="1" t="s">
        <v>752</v>
      </c>
      <c r="C97" s="1" t="s">
        <v>124</v>
      </c>
      <c r="D97" s="1" t="s">
        <v>23</v>
      </c>
      <c r="E97" s="1" t="s">
        <v>24</v>
      </c>
      <c r="F97" s="1" t="s">
        <v>93</v>
      </c>
      <c r="G97" s="1">
        <v>48</v>
      </c>
      <c r="H97" s="1" t="s">
        <v>73</v>
      </c>
      <c r="I97" s="1" t="s">
        <v>39</v>
      </c>
      <c r="J97" s="5">
        <v>42866</v>
      </c>
      <c r="K97" s="8">
        <v>7.6</v>
      </c>
      <c r="L97" s="11">
        <v>813270</v>
      </c>
      <c r="M97" s="12">
        <v>0.21820000000000001</v>
      </c>
      <c r="N97" s="7">
        <v>4</v>
      </c>
      <c r="O97" s="1" t="s">
        <v>41</v>
      </c>
      <c r="P97" s="1">
        <v>8272316134</v>
      </c>
      <c r="Q97" s="1" t="s">
        <v>2639</v>
      </c>
      <c r="R97" s="10">
        <v>26</v>
      </c>
      <c r="S97" s="10">
        <v>9</v>
      </c>
      <c r="T97" s="1" t="s">
        <v>756</v>
      </c>
      <c r="U97" t="str">
        <f t="shared" si="6"/>
        <v>Valid</v>
      </c>
      <c r="V97">
        <f t="shared" si="7"/>
        <v>5</v>
      </c>
      <c r="W97" t="str">
        <f t="shared" si="8"/>
        <v>May</v>
      </c>
      <c r="X97">
        <f t="shared" si="9"/>
        <v>2017</v>
      </c>
      <c r="Y97">
        <f t="shared" ca="1" si="10"/>
        <v>8</v>
      </c>
      <c r="Z97" t="str" cm="1">
        <f t="array" ref="Z97">_xlfn.IFS(G97&lt;30,"20-29",G97&lt;40,"30-39",G97&lt;50,"40-49",G97&gt;=50,"50+")</f>
        <v>40-49</v>
      </c>
      <c r="AA97" t="str" cm="1">
        <f t="array" ref="AA97">_xlfn.IFS(L97&lt;500000,"Band 1: &lt;5L", L97&lt;1000000,"Band 2: 5-10L", L97&lt;1500000,"Band 3: 10-15L", L97&lt;2000000,"Band 4: 15-20L", L97&gt;=2000000,"Band 5: 20L+")</f>
        <v>Band 2: 5-10L</v>
      </c>
      <c r="AB97" t="str" cm="1">
        <f t="array" ref="AB97">_xlfn.IFS(N97=1,"Poor", N97=2,"Below Average", N97=3,"Average", N97=4,"Good", N97=5,"Excellent")</f>
        <v>Good</v>
      </c>
      <c r="AC97" s="14">
        <f t="shared" si="11"/>
        <v>177455.514</v>
      </c>
      <c r="AD97" t="str" cm="1">
        <f t="array" ref="AD97">_xlfn.IFS(K97&lt;2,"Junior (0-2 yrs)", K97&lt;5,"Mid-Level (2-5 yrs)", K97&lt;10,"Senior (5-10 yrs)", K97&gt;=10,"Expert (10+ yrs)")</f>
        <v>Senior (5-10 yrs)</v>
      </c>
    </row>
    <row r="98" spans="1:30" x14ac:dyDescent="0.3">
      <c r="A98" s="1" t="s">
        <v>757</v>
      </c>
      <c r="B98" s="1" t="s">
        <v>758</v>
      </c>
      <c r="C98" s="1" t="s">
        <v>69</v>
      </c>
      <c r="D98" s="1" t="s">
        <v>83</v>
      </c>
      <c r="E98" s="1" t="s">
        <v>168</v>
      </c>
      <c r="F98" s="1" t="s">
        <v>37</v>
      </c>
      <c r="G98" s="1">
        <v>41</v>
      </c>
      <c r="H98" s="1" t="s">
        <v>73</v>
      </c>
      <c r="I98" s="1" t="s">
        <v>39</v>
      </c>
      <c r="J98" s="5">
        <v>43881</v>
      </c>
      <c r="K98" s="8">
        <v>5.4</v>
      </c>
      <c r="L98" s="11">
        <v>1228241</v>
      </c>
      <c r="M98" s="12">
        <v>8.3299999999999999E-2</v>
      </c>
      <c r="N98" s="7">
        <v>3</v>
      </c>
      <c r="O98" s="1" t="s">
        <v>76</v>
      </c>
      <c r="P98" s="1">
        <v>7090699807</v>
      </c>
      <c r="Q98" s="1" t="s">
        <v>2640</v>
      </c>
      <c r="R98" s="10">
        <v>70</v>
      </c>
      <c r="S98" s="10">
        <v>6</v>
      </c>
      <c r="T98" s="1" t="s">
        <v>79</v>
      </c>
      <c r="U98" t="str">
        <f t="shared" si="6"/>
        <v>Invalid</v>
      </c>
      <c r="V98">
        <f t="shared" si="7"/>
        <v>2</v>
      </c>
      <c r="W98" t="str">
        <f t="shared" si="8"/>
        <v>Feb</v>
      </c>
      <c r="X98">
        <f t="shared" si="9"/>
        <v>2020</v>
      </c>
      <c r="Y98">
        <f t="shared" ca="1" si="10"/>
        <v>6</v>
      </c>
      <c r="Z98" t="str" cm="1">
        <f t="array" ref="Z98">_xlfn.IFS(G98&lt;30,"20-29",G98&lt;40,"30-39",G98&lt;50,"40-49",G98&gt;=50,"50+")</f>
        <v>40-49</v>
      </c>
      <c r="AA98" t="str" cm="1">
        <f t="array" ref="AA98">_xlfn.IFS(L98&lt;500000,"Band 1: &lt;5L", L98&lt;1000000,"Band 2: 5-10L", L98&lt;1500000,"Band 3: 10-15L", L98&lt;2000000,"Band 4: 15-20L", L98&gt;=2000000,"Band 5: 20L+")</f>
        <v>Band 3: 10-15L</v>
      </c>
      <c r="AB98" t="str" cm="1">
        <f t="array" ref="AB98">_xlfn.IFS(N98=1,"Poor", N98=2,"Below Average", N98=3,"Average", N98=4,"Good", N98=5,"Excellent")</f>
        <v>Average</v>
      </c>
      <c r="AC98" s="14">
        <f t="shared" si="11"/>
        <v>102312.47530000001</v>
      </c>
      <c r="AD98" t="str" cm="1">
        <f t="array" ref="AD98">_xlfn.IFS(K98&lt;2,"Junior (0-2 yrs)", K98&lt;5,"Mid-Level (2-5 yrs)", K98&lt;10,"Senior (5-10 yrs)", K98&gt;=10,"Expert (10+ yrs)")</f>
        <v>Senior (5-10 yrs)</v>
      </c>
    </row>
    <row r="99" spans="1:30" x14ac:dyDescent="0.3">
      <c r="A99" s="1" t="s">
        <v>768</v>
      </c>
      <c r="B99" s="1" t="s">
        <v>769</v>
      </c>
      <c r="C99" s="1" t="s">
        <v>110</v>
      </c>
      <c r="D99" s="1" t="s">
        <v>231</v>
      </c>
      <c r="E99" s="1" t="s">
        <v>92</v>
      </c>
      <c r="F99" s="1" t="s">
        <v>93</v>
      </c>
      <c r="G99" s="1">
        <v>55</v>
      </c>
      <c r="H99" s="1" t="s">
        <v>142</v>
      </c>
      <c r="I99" s="1" t="s">
        <v>39</v>
      </c>
      <c r="J99" s="5">
        <v>41979</v>
      </c>
      <c r="K99" s="8">
        <v>17.100000000000001</v>
      </c>
      <c r="L99" s="11">
        <v>1227031</v>
      </c>
      <c r="M99" s="12">
        <v>3.2099999999999997E-2</v>
      </c>
      <c r="N99" s="7">
        <v>5</v>
      </c>
      <c r="O99" s="1" t="s">
        <v>41</v>
      </c>
      <c r="P99" s="1">
        <v>9891710073</v>
      </c>
      <c r="Q99" s="1" t="s">
        <v>2641</v>
      </c>
      <c r="R99" s="10">
        <v>49</v>
      </c>
      <c r="S99" s="10">
        <v>29</v>
      </c>
      <c r="T99" s="1" t="s">
        <v>543</v>
      </c>
      <c r="U99" t="str">
        <f t="shared" si="6"/>
        <v>Invalid</v>
      </c>
      <c r="V99">
        <f t="shared" si="7"/>
        <v>12</v>
      </c>
      <c r="W99" t="str">
        <f t="shared" si="8"/>
        <v>Dec</v>
      </c>
      <c r="X99">
        <f t="shared" si="9"/>
        <v>2014</v>
      </c>
      <c r="Y99">
        <f t="shared" ca="1" si="10"/>
        <v>11</v>
      </c>
      <c r="Z99" t="str" cm="1">
        <f t="array" ref="Z99">_xlfn.IFS(G99&lt;30,"20-29",G99&lt;40,"30-39",G99&lt;50,"40-49",G99&gt;=50,"50+")</f>
        <v>50+</v>
      </c>
      <c r="AA99" t="str" cm="1">
        <f t="array" ref="AA99">_xlfn.IFS(L99&lt;500000,"Band 1: &lt;5L", L99&lt;1000000,"Band 2: 5-10L", L99&lt;1500000,"Band 3: 10-15L", L99&lt;2000000,"Band 4: 15-20L", L99&gt;=2000000,"Band 5: 20L+")</f>
        <v>Band 3: 10-15L</v>
      </c>
      <c r="AB99" t="str" cm="1">
        <f t="array" ref="AB99">_xlfn.IFS(N99=1,"Poor", N99=2,"Below Average", N99=3,"Average", N99=4,"Good", N99=5,"Excellent")</f>
        <v>Excellent</v>
      </c>
      <c r="AC99" s="14">
        <f t="shared" si="11"/>
        <v>39387.695099999997</v>
      </c>
      <c r="AD99" t="str" cm="1">
        <f t="array" ref="AD99">_xlfn.IFS(K99&lt;2,"Junior (0-2 yrs)", K99&lt;5,"Mid-Level (2-5 yrs)", K99&lt;10,"Senior (5-10 yrs)", K99&gt;=10,"Expert (10+ yrs)")</f>
        <v>Expert (10+ yrs)</v>
      </c>
    </row>
    <row r="100" spans="1:30" x14ac:dyDescent="0.3">
      <c r="A100" s="1" t="s">
        <v>773</v>
      </c>
      <c r="B100" s="1" t="s">
        <v>774</v>
      </c>
      <c r="C100" s="1" t="s">
        <v>124</v>
      </c>
      <c r="D100" s="1" t="s">
        <v>83</v>
      </c>
      <c r="E100" s="1" t="s">
        <v>175</v>
      </c>
      <c r="F100" s="1" t="s">
        <v>93</v>
      </c>
      <c r="G100" s="1">
        <v>40</v>
      </c>
      <c r="H100" s="1" t="s">
        <v>142</v>
      </c>
      <c r="I100" s="1" t="s">
        <v>39</v>
      </c>
      <c r="J100" s="5">
        <v>45373</v>
      </c>
      <c r="K100" s="8">
        <v>21.9</v>
      </c>
      <c r="L100" s="11">
        <v>836636</v>
      </c>
      <c r="M100" s="12">
        <v>0.1464</v>
      </c>
      <c r="N100" s="7">
        <v>2</v>
      </c>
      <c r="O100" s="1" t="s">
        <v>41</v>
      </c>
      <c r="P100" s="1">
        <v>8318921193</v>
      </c>
      <c r="Q100" s="1" t="s">
        <v>2642</v>
      </c>
      <c r="R100" s="10">
        <v>15</v>
      </c>
      <c r="S100" s="10">
        <v>110</v>
      </c>
      <c r="T100" s="1" t="s">
        <v>677</v>
      </c>
      <c r="U100" t="str">
        <f t="shared" si="6"/>
        <v>Invalid</v>
      </c>
      <c r="V100">
        <f t="shared" si="7"/>
        <v>3</v>
      </c>
      <c r="W100" t="str">
        <f t="shared" si="8"/>
        <v>Mar</v>
      </c>
      <c r="X100">
        <f t="shared" si="9"/>
        <v>2024</v>
      </c>
      <c r="Y100">
        <f t="shared" ca="1" si="10"/>
        <v>2</v>
      </c>
      <c r="Z100" t="str" cm="1">
        <f t="array" ref="Z100">_xlfn.IFS(G100&lt;30,"20-29",G100&lt;40,"30-39",G100&lt;50,"40-49",G100&gt;=50,"50+")</f>
        <v>40-49</v>
      </c>
      <c r="AA100" t="str" cm="1">
        <f t="array" ref="AA100">_xlfn.IFS(L100&lt;500000,"Band 1: &lt;5L", L100&lt;1000000,"Band 2: 5-10L", L100&lt;1500000,"Band 3: 10-15L", L100&lt;2000000,"Band 4: 15-20L", L100&gt;=2000000,"Band 5: 20L+")</f>
        <v>Band 2: 5-10L</v>
      </c>
      <c r="AB100" t="str" cm="1">
        <f t="array" ref="AB100">_xlfn.IFS(N100=1,"Poor", N100=2,"Below Average", N100=3,"Average", N100=4,"Good", N100=5,"Excellent")</f>
        <v>Below Average</v>
      </c>
      <c r="AC100" s="14">
        <f t="shared" si="11"/>
        <v>122483.5104</v>
      </c>
      <c r="AD100" t="str" cm="1">
        <f t="array" ref="AD100">_xlfn.IFS(K100&lt;2,"Junior (0-2 yrs)", K100&lt;5,"Mid-Level (2-5 yrs)", K100&lt;10,"Senior (5-10 yrs)", K100&gt;=10,"Expert (10+ yrs)")</f>
        <v>Expert (10+ yrs)</v>
      </c>
    </row>
    <row r="101" spans="1:30" x14ac:dyDescent="0.3">
      <c r="A101" s="1" t="s">
        <v>778</v>
      </c>
      <c r="B101" s="1" t="s">
        <v>779</v>
      </c>
      <c r="C101" s="1" t="s">
        <v>46</v>
      </c>
      <c r="D101" s="1" t="s">
        <v>83</v>
      </c>
      <c r="E101" s="1" t="s">
        <v>290</v>
      </c>
      <c r="F101" s="1" t="s">
        <v>93</v>
      </c>
      <c r="G101" s="1">
        <v>25</v>
      </c>
      <c r="H101" s="1" t="s">
        <v>142</v>
      </c>
      <c r="I101" s="1" t="s">
        <v>27</v>
      </c>
      <c r="J101" s="5">
        <v>41446</v>
      </c>
      <c r="K101" s="8">
        <v>4.5</v>
      </c>
      <c r="L101" s="11">
        <v>2046960</v>
      </c>
      <c r="M101" s="12">
        <v>9.4299999999999995E-2</v>
      </c>
      <c r="N101" s="7">
        <v>4</v>
      </c>
      <c r="O101" s="1" t="s">
        <v>41</v>
      </c>
      <c r="P101" s="1">
        <v>9300537106</v>
      </c>
      <c r="Q101" s="1" t="s">
        <v>2534</v>
      </c>
      <c r="R101" s="10">
        <v>5</v>
      </c>
      <c r="S101" s="10">
        <v>24</v>
      </c>
      <c r="T101" s="1" t="s">
        <v>599</v>
      </c>
      <c r="U101" t="str">
        <f t="shared" si="6"/>
        <v>Invalid</v>
      </c>
      <c r="V101">
        <f t="shared" si="7"/>
        <v>6</v>
      </c>
      <c r="W101" t="str">
        <f t="shared" si="8"/>
        <v>Jun</v>
      </c>
      <c r="X101">
        <f t="shared" si="9"/>
        <v>2013</v>
      </c>
      <c r="Y101">
        <f t="shared" ca="1" si="10"/>
        <v>12</v>
      </c>
      <c r="Z101" t="str" cm="1">
        <f t="array" ref="Z101">_xlfn.IFS(G101&lt;30,"20-29",G101&lt;40,"30-39",G101&lt;50,"40-49",G101&gt;=50,"50+")</f>
        <v>20-29</v>
      </c>
      <c r="AA101" t="str" cm="1">
        <f t="array" ref="AA101">_xlfn.IFS(L101&lt;500000,"Band 1: &lt;5L", L101&lt;1000000,"Band 2: 5-10L", L101&lt;1500000,"Band 3: 10-15L", L101&lt;2000000,"Band 4: 15-20L", L101&gt;=2000000,"Band 5: 20L+")</f>
        <v>Band 5: 20L+</v>
      </c>
      <c r="AB101" t="str" cm="1">
        <f t="array" ref="AB101">_xlfn.IFS(N101=1,"Poor", N101=2,"Below Average", N101=3,"Average", N101=4,"Good", N101=5,"Excellent")</f>
        <v>Good</v>
      </c>
      <c r="AC101" s="14">
        <f t="shared" si="11"/>
        <v>193028.32799999998</v>
      </c>
      <c r="AD101" t="str" cm="1">
        <f t="array" ref="AD101">_xlfn.IFS(K101&lt;2,"Junior (0-2 yrs)", K101&lt;5,"Mid-Level (2-5 yrs)", K101&lt;10,"Senior (5-10 yrs)", K101&gt;=10,"Expert (10+ yrs)")</f>
        <v>Mid-Level (2-5 yrs)</v>
      </c>
    </row>
    <row r="102" spans="1:30" x14ac:dyDescent="0.3">
      <c r="A102" s="1" t="s">
        <v>787</v>
      </c>
      <c r="B102" s="1" t="s">
        <v>788</v>
      </c>
      <c r="C102" s="1" t="s">
        <v>69</v>
      </c>
      <c r="D102" s="1" t="s">
        <v>23</v>
      </c>
      <c r="E102" s="1" t="s">
        <v>36</v>
      </c>
      <c r="F102" s="1" t="s">
        <v>93</v>
      </c>
      <c r="G102" s="1">
        <v>29</v>
      </c>
      <c r="H102" s="1" t="s">
        <v>142</v>
      </c>
      <c r="I102" s="1" t="s">
        <v>39</v>
      </c>
      <c r="J102" s="5">
        <v>43030</v>
      </c>
      <c r="K102" s="8">
        <v>22.7</v>
      </c>
      <c r="L102" s="11">
        <v>1472171</v>
      </c>
      <c r="M102" s="12">
        <v>0.21840000000000001</v>
      </c>
      <c r="N102" s="7">
        <v>4</v>
      </c>
      <c r="O102" s="1" t="s">
        <v>41</v>
      </c>
      <c r="P102" s="1">
        <v>7013439400</v>
      </c>
      <c r="Q102" s="1" t="s">
        <v>2643</v>
      </c>
      <c r="R102" s="10">
        <v>41</v>
      </c>
      <c r="S102" s="10">
        <v>29</v>
      </c>
      <c r="T102" s="1" t="s">
        <v>309</v>
      </c>
      <c r="U102" t="str">
        <f t="shared" si="6"/>
        <v>Valid</v>
      </c>
      <c r="V102">
        <f t="shared" si="7"/>
        <v>10</v>
      </c>
      <c r="W102" t="str">
        <f t="shared" si="8"/>
        <v>Oct</v>
      </c>
      <c r="X102">
        <f t="shared" si="9"/>
        <v>2017</v>
      </c>
      <c r="Y102">
        <f t="shared" ca="1" si="10"/>
        <v>8</v>
      </c>
      <c r="Z102" t="str" cm="1">
        <f t="array" ref="Z102">_xlfn.IFS(G102&lt;30,"20-29",G102&lt;40,"30-39",G102&lt;50,"40-49",G102&gt;=50,"50+")</f>
        <v>20-29</v>
      </c>
      <c r="AA102" t="str" cm="1">
        <f t="array" ref="AA102">_xlfn.IFS(L102&lt;500000,"Band 1: &lt;5L", L102&lt;1000000,"Band 2: 5-10L", L102&lt;1500000,"Band 3: 10-15L", L102&lt;2000000,"Band 4: 15-20L", L102&gt;=2000000,"Band 5: 20L+")</f>
        <v>Band 3: 10-15L</v>
      </c>
      <c r="AB102" t="str" cm="1">
        <f t="array" ref="AB102">_xlfn.IFS(N102=1,"Poor", N102=2,"Below Average", N102=3,"Average", N102=4,"Good", N102=5,"Excellent")</f>
        <v>Good</v>
      </c>
      <c r="AC102" s="14">
        <f t="shared" si="11"/>
        <v>321522.14640000003</v>
      </c>
      <c r="AD102" t="str" cm="1">
        <f t="array" ref="AD102">_xlfn.IFS(K102&lt;2,"Junior (0-2 yrs)", K102&lt;5,"Mid-Level (2-5 yrs)", K102&lt;10,"Senior (5-10 yrs)", K102&gt;=10,"Expert (10+ yrs)")</f>
        <v>Expert (10+ yrs)</v>
      </c>
    </row>
    <row r="103" spans="1:30" x14ac:dyDescent="0.3">
      <c r="A103" s="1" t="s">
        <v>792</v>
      </c>
      <c r="B103" s="1" t="s">
        <v>793</v>
      </c>
      <c r="C103" s="1" t="s">
        <v>124</v>
      </c>
      <c r="D103" s="1" t="s">
        <v>111</v>
      </c>
      <c r="E103" s="1" t="s">
        <v>175</v>
      </c>
      <c r="F103" s="1" t="s">
        <v>93</v>
      </c>
      <c r="G103" s="1">
        <v>55</v>
      </c>
      <c r="H103" s="1" t="s">
        <v>50</v>
      </c>
      <c r="I103" s="1" t="s">
        <v>39</v>
      </c>
      <c r="J103" s="5">
        <v>44993</v>
      </c>
      <c r="K103" s="8">
        <v>4.7</v>
      </c>
      <c r="L103" s="11">
        <v>2200442</v>
      </c>
      <c r="M103" s="12">
        <v>0.1961</v>
      </c>
      <c r="N103" s="7">
        <v>3</v>
      </c>
      <c r="O103" s="1" t="s">
        <v>41</v>
      </c>
      <c r="P103" s="1">
        <v>7396300853</v>
      </c>
      <c r="Q103" s="1" t="s">
        <v>2644</v>
      </c>
      <c r="R103" s="10">
        <v>22</v>
      </c>
      <c r="S103" s="10">
        <v>60</v>
      </c>
      <c r="T103" s="1" t="s">
        <v>797</v>
      </c>
      <c r="U103" t="str">
        <f t="shared" si="6"/>
        <v>Valid</v>
      </c>
      <c r="V103">
        <f t="shared" si="7"/>
        <v>3</v>
      </c>
      <c r="W103" t="str">
        <f t="shared" si="8"/>
        <v>Mar</v>
      </c>
      <c r="X103">
        <f t="shared" si="9"/>
        <v>2023</v>
      </c>
      <c r="Y103">
        <f t="shared" ca="1" si="10"/>
        <v>3</v>
      </c>
      <c r="Z103" t="str" cm="1">
        <f t="array" ref="Z103">_xlfn.IFS(G103&lt;30,"20-29",G103&lt;40,"30-39",G103&lt;50,"40-49",G103&gt;=50,"50+")</f>
        <v>50+</v>
      </c>
      <c r="AA103" t="str" cm="1">
        <f t="array" ref="AA103">_xlfn.IFS(L103&lt;500000,"Band 1: &lt;5L", L103&lt;1000000,"Band 2: 5-10L", L103&lt;1500000,"Band 3: 10-15L", L103&lt;2000000,"Band 4: 15-20L", L103&gt;=2000000,"Band 5: 20L+")</f>
        <v>Band 5: 20L+</v>
      </c>
      <c r="AB103" t="str" cm="1">
        <f t="array" ref="AB103">_xlfn.IFS(N103=1,"Poor", N103=2,"Below Average", N103=3,"Average", N103=4,"Good", N103=5,"Excellent")</f>
        <v>Average</v>
      </c>
      <c r="AC103" s="14">
        <f t="shared" si="11"/>
        <v>431506.67619999999</v>
      </c>
      <c r="AD103" t="str" cm="1">
        <f t="array" ref="AD103">_xlfn.IFS(K103&lt;2,"Junior (0-2 yrs)", K103&lt;5,"Mid-Level (2-5 yrs)", K103&lt;10,"Senior (5-10 yrs)", K103&gt;=10,"Expert (10+ yrs)")</f>
        <v>Mid-Level (2-5 yrs)</v>
      </c>
    </row>
    <row r="104" spans="1:30" x14ac:dyDescent="0.3">
      <c r="A104" s="1" t="s">
        <v>798</v>
      </c>
      <c r="B104" s="1" t="s">
        <v>799</v>
      </c>
      <c r="C104" s="1" t="s">
        <v>197</v>
      </c>
      <c r="D104" s="1" t="s">
        <v>83</v>
      </c>
      <c r="E104" s="1" t="s">
        <v>71</v>
      </c>
      <c r="F104" s="1" t="s">
        <v>37</v>
      </c>
      <c r="G104" s="1">
        <v>29</v>
      </c>
      <c r="H104" s="1" t="s">
        <v>38</v>
      </c>
      <c r="I104" s="1" t="s">
        <v>39</v>
      </c>
      <c r="J104" s="5">
        <v>43761</v>
      </c>
      <c r="K104" s="8">
        <v>29.5</v>
      </c>
      <c r="L104" s="11">
        <v>321866</v>
      </c>
      <c r="M104" s="12">
        <v>0.1787</v>
      </c>
      <c r="N104" s="7">
        <v>4</v>
      </c>
      <c r="O104" s="1" t="s">
        <v>41</v>
      </c>
      <c r="P104" s="1">
        <v>8504686545</v>
      </c>
      <c r="Q104" s="1" t="s">
        <v>2645</v>
      </c>
      <c r="R104" s="10">
        <v>48</v>
      </c>
      <c r="S104" s="10">
        <v>31</v>
      </c>
      <c r="T104" s="1" t="s">
        <v>573</v>
      </c>
      <c r="U104" t="str">
        <f t="shared" si="6"/>
        <v>Valid</v>
      </c>
      <c r="V104">
        <f t="shared" si="7"/>
        <v>10</v>
      </c>
      <c r="W104" t="str">
        <f t="shared" si="8"/>
        <v>Oct</v>
      </c>
      <c r="X104">
        <f t="shared" si="9"/>
        <v>2019</v>
      </c>
      <c r="Y104">
        <f t="shared" ca="1" si="10"/>
        <v>6</v>
      </c>
      <c r="Z104" t="str" cm="1">
        <f t="array" ref="Z104">_xlfn.IFS(G104&lt;30,"20-29",G104&lt;40,"30-39",G104&lt;50,"40-49",G104&gt;=50,"50+")</f>
        <v>20-29</v>
      </c>
      <c r="AA104" t="str" cm="1">
        <f t="array" ref="AA104">_xlfn.IFS(L104&lt;500000,"Band 1: &lt;5L", L104&lt;1000000,"Band 2: 5-10L", L104&lt;1500000,"Band 3: 10-15L", L104&lt;2000000,"Band 4: 15-20L", L104&gt;=2000000,"Band 5: 20L+")</f>
        <v>Band 1: &lt;5L</v>
      </c>
      <c r="AB104" t="str" cm="1">
        <f t="array" ref="AB104">_xlfn.IFS(N104=1,"Poor", N104=2,"Below Average", N104=3,"Average", N104=4,"Good", N104=5,"Excellent")</f>
        <v>Good</v>
      </c>
      <c r="AC104" s="14">
        <f t="shared" si="11"/>
        <v>57517.4542</v>
      </c>
      <c r="AD104" t="str" cm="1">
        <f t="array" ref="AD104">_xlfn.IFS(K104&lt;2,"Junior (0-2 yrs)", K104&lt;5,"Mid-Level (2-5 yrs)", K104&lt;10,"Senior (5-10 yrs)", K104&gt;=10,"Expert (10+ yrs)")</f>
        <v>Expert (10+ yrs)</v>
      </c>
    </row>
    <row r="105" spans="1:30" x14ac:dyDescent="0.3">
      <c r="A105" s="1" t="s">
        <v>559</v>
      </c>
      <c r="B105" s="1" t="s">
        <v>803</v>
      </c>
      <c r="C105" s="1" t="s">
        <v>197</v>
      </c>
      <c r="D105" s="1" t="s">
        <v>244</v>
      </c>
      <c r="E105" s="1" t="s">
        <v>290</v>
      </c>
      <c r="F105" s="1" t="s">
        <v>37</v>
      </c>
      <c r="G105" s="1">
        <v>50</v>
      </c>
      <c r="H105" s="1" t="s">
        <v>50</v>
      </c>
      <c r="I105" s="1" t="s">
        <v>39</v>
      </c>
      <c r="J105" s="5">
        <v>40509</v>
      </c>
      <c r="K105" s="8">
        <v>29.6</v>
      </c>
      <c r="L105" s="11">
        <v>1568848</v>
      </c>
      <c r="M105" s="12">
        <v>3.8900000000000004E-2</v>
      </c>
      <c r="N105" s="7">
        <v>2</v>
      </c>
      <c r="O105" s="1" t="s">
        <v>41</v>
      </c>
      <c r="P105" s="1">
        <v>8135872495</v>
      </c>
      <c r="Q105" s="1" t="s">
        <v>2646</v>
      </c>
      <c r="R105" s="10">
        <v>26</v>
      </c>
      <c r="S105" s="10">
        <v>26</v>
      </c>
      <c r="T105" s="1" t="s">
        <v>107</v>
      </c>
      <c r="U105" t="str">
        <f t="shared" si="6"/>
        <v>Valid</v>
      </c>
      <c r="V105">
        <f t="shared" si="7"/>
        <v>11</v>
      </c>
      <c r="W105" t="str">
        <f t="shared" si="8"/>
        <v>Nov</v>
      </c>
      <c r="X105">
        <f t="shared" si="9"/>
        <v>2010</v>
      </c>
      <c r="Y105">
        <f t="shared" ca="1" si="10"/>
        <v>15</v>
      </c>
      <c r="Z105" t="str" cm="1">
        <f t="array" ref="Z105">_xlfn.IFS(G105&lt;30,"20-29",G105&lt;40,"30-39",G105&lt;50,"40-49",G105&gt;=50,"50+")</f>
        <v>50+</v>
      </c>
      <c r="AA105" t="str" cm="1">
        <f t="array" ref="AA105">_xlfn.IFS(L105&lt;500000,"Band 1: &lt;5L", L105&lt;1000000,"Band 2: 5-10L", L105&lt;1500000,"Band 3: 10-15L", L105&lt;2000000,"Band 4: 15-20L", L105&gt;=2000000,"Band 5: 20L+")</f>
        <v>Band 4: 15-20L</v>
      </c>
      <c r="AB105" t="str" cm="1">
        <f t="array" ref="AB105">_xlfn.IFS(N105=1,"Poor", N105=2,"Below Average", N105=3,"Average", N105=4,"Good", N105=5,"Excellent")</f>
        <v>Below Average</v>
      </c>
      <c r="AC105" s="14">
        <f t="shared" si="11"/>
        <v>61028.187200000008</v>
      </c>
      <c r="AD105" t="str" cm="1">
        <f t="array" ref="AD105">_xlfn.IFS(K105&lt;2,"Junior (0-2 yrs)", K105&lt;5,"Mid-Level (2-5 yrs)", K105&lt;10,"Senior (5-10 yrs)", K105&gt;=10,"Expert (10+ yrs)")</f>
        <v>Expert (10+ yrs)</v>
      </c>
    </row>
    <row r="106" spans="1:30" x14ac:dyDescent="0.3">
      <c r="A106" s="1" t="s">
        <v>807</v>
      </c>
      <c r="B106" s="1" t="s">
        <v>808</v>
      </c>
      <c r="C106" s="1" t="s">
        <v>132</v>
      </c>
      <c r="D106" s="1" t="s">
        <v>231</v>
      </c>
      <c r="E106" s="1" t="s">
        <v>24</v>
      </c>
      <c r="F106" s="1" t="s">
        <v>93</v>
      </c>
      <c r="G106" s="1">
        <v>40</v>
      </c>
      <c r="H106" s="1" t="s">
        <v>73</v>
      </c>
      <c r="I106" s="1" t="s">
        <v>39</v>
      </c>
      <c r="J106" s="5">
        <v>41581</v>
      </c>
      <c r="K106" s="8">
        <v>18.600000000000001</v>
      </c>
      <c r="L106" s="11">
        <v>1431578</v>
      </c>
      <c r="M106" s="12">
        <v>1.29E-2</v>
      </c>
      <c r="N106" s="7">
        <v>3</v>
      </c>
      <c r="O106" s="1" t="s">
        <v>76</v>
      </c>
      <c r="P106" s="1">
        <v>9210776336</v>
      </c>
      <c r="Q106" s="1" t="s">
        <v>2647</v>
      </c>
      <c r="R106" s="10">
        <v>59</v>
      </c>
      <c r="S106" s="10">
        <v>46</v>
      </c>
      <c r="T106" s="1" t="s">
        <v>812</v>
      </c>
      <c r="U106" t="str">
        <f t="shared" si="6"/>
        <v>Invalid</v>
      </c>
      <c r="V106">
        <f t="shared" si="7"/>
        <v>11</v>
      </c>
      <c r="W106" t="str">
        <f t="shared" si="8"/>
        <v>Nov</v>
      </c>
      <c r="X106">
        <f t="shared" si="9"/>
        <v>2013</v>
      </c>
      <c r="Y106">
        <f t="shared" ca="1" si="10"/>
        <v>12</v>
      </c>
      <c r="Z106" t="str" cm="1">
        <f t="array" ref="Z106">_xlfn.IFS(G106&lt;30,"20-29",G106&lt;40,"30-39",G106&lt;50,"40-49",G106&gt;=50,"50+")</f>
        <v>40-49</v>
      </c>
      <c r="AA106" t="str" cm="1">
        <f t="array" ref="AA106">_xlfn.IFS(L106&lt;500000,"Band 1: &lt;5L", L106&lt;1000000,"Band 2: 5-10L", L106&lt;1500000,"Band 3: 10-15L", L106&lt;2000000,"Band 4: 15-20L", L106&gt;=2000000,"Band 5: 20L+")</f>
        <v>Band 3: 10-15L</v>
      </c>
      <c r="AB106" t="str" cm="1">
        <f t="array" ref="AB106">_xlfn.IFS(N106=1,"Poor", N106=2,"Below Average", N106=3,"Average", N106=4,"Good", N106=5,"Excellent")</f>
        <v>Average</v>
      </c>
      <c r="AC106" s="14">
        <f t="shared" si="11"/>
        <v>18467.356199999998</v>
      </c>
      <c r="AD106" t="str" cm="1">
        <f t="array" ref="AD106">_xlfn.IFS(K106&lt;2,"Junior (0-2 yrs)", K106&lt;5,"Mid-Level (2-5 yrs)", K106&lt;10,"Senior (5-10 yrs)", K106&gt;=10,"Expert (10+ yrs)")</f>
        <v>Expert (10+ yrs)</v>
      </c>
    </row>
    <row r="107" spans="1:30" x14ac:dyDescent="0.3">
      <c r="A107" s="1" t="s">
        <v>813</v>
      </c>
      <c r="B107" s="1" t="s">
        <v>814</v>
      </c>
      <c r="C107" s="1" t="s">
        <v>69</v>
      </c>
      <c r="D107" s="1" t="s">
        <v>244</v>
      </c>
      <c r="E107" s="1" t="s">
        <v>290</v>
      </c>
      <c r="F107" s="1" t="s">
        <v>93</v>
      </c>
      <c r="G107" s="1">
        <v>28</v>
      </c>
      <c r="H107" s="1" t="s">
        <v>103</v>
      </c>
      <c r="I107" s="1" t="s">
        <v>27</v>
      </c>
      <c r="J107" s="5">
        <v>40338</v>
      </c>
      <c r="K107" s="8">
        <v>6.7</v>
      </c>
      <c r="L107" s="11">
        <v>2370833</v>
      </c>
      <c r="M107" s="12">
        <v>0.15439999999999998</v>
      </c>
      <c r="N107" s="7">
        <v>3</v>
      </c>
      <c r="O107" s="1" t="s">
        <v>76</v>
      </c>
      <c r="P107" s="1">
        <v>7137310137</v>
      </c>
      <c r="Q107" s="1" t="s">
        <v>2648</v>
      </c>
      <c r="R107" s="10">
        <v>28</v>
      </c>
      <c r="S107" s="10">
        <v>43</v>
      </c>
      <c r="T107" s="1" t="s">
        <v>516</v>
      </c>
      <c r="U107" t="str">
        <f t="shared" si="6"/>
        <v>Valid</v>
      </c>
      <c r="V107">
        <f t="shared" si="7"/>
        <v>6</v>
      </c>
      <c r="W107" t="str">
        <f t="shared" si="8"/>
        <v>Jun</v>
      </c>
      <c r="X107">
        <f t="shared" si="9"/>
        <v>2010</v>
      </c>
      <c r="Y107">
        <f t="shared" ca="1" si="10"/>
        <v>15</v>
      </c>
      <c r="Z107" t="str" cm="1">
        <f t="array" ref="Z107">_xlfn.IFS(G107&lt;30,"20-29",G107&lt;40,"30-39",G107&lt;50,"40-49",G107&gt;=50,"50+")</f>
        <v>20-29</v>
      </c>
      <c r="AA107" t="str" cm="1">
        <f t="array" ref="AA107">_xlfn.IFS(L107&lt;500000,"Band 1: &lt;5L", L107&lt;1000000,"Band 2: 5-10L", L107&lt;1500000,"Band 3: 10-15L", L107&lt;2000000,"Band 4: 15-20L", L107&gt;=2000000,"Band 5: 20L+")</f>
        <v>Band 5: 20L+</v>
      </c>
      <c r="AB107" t="str" cm="1">
        <f t="array" ref="AB107">_xlfn.IFS(N107=1,"Poor", N107=2,"Below Average", N107=3,"Average", N107=4,"Good", N107=5,"Excellent")</f>
        <v>Average</v>
      </c>
      <c r="AC107" s="14">
        <f t="shared" si="11"/>
        <v>366056.61519999994</v>
      </c>
      <c r="AD107" t="str" cm="1">
        <f t="array" ref="AD107">_xlfn.IFS(K107&lt;2,"Junior (0-2 yrs)", K107&lt;5,"Mid-Level (2-5 yrs)", K107&lt;10,"Senior (5-10 yrs)", K107&gt;=10,"Expert (10+ yrs)")</f>
        <v>Senior (5-10 yrs)</v>
      </c>
    </row>
    <row r="108" spans="1:30" x14ac:dyDescent="0.3">
      <c r="A108" s="1" t="s">
        <v>115</v>
      </c>
      <c r="B108" s="1" t="s">
        <v>818</v>
      </c>
      <c r="C108" s="1" t="s">
        <v>69</v>
      </c>
      <c r="D108" s="1" t="s">
        <v>83</v>
      </c>
      <c r="E108" s="1" t="s">
        <v>175</v>
      </c>
      <c r="F108" s="1" t="s">
        <v>37</v>
      </c>
      <c r="G108" s="1">
        <v>27</v>
      </c>
      <c r="H108" s="1" t="s">
        <v>218</v>
      </c>
      <c r="I108" s="1" t="s">
        <v>39</v>
      </c>
      <c r="J108" s="5">
        <v>44769</v>
      </c>
      <c r="K108" s="8">
        <v>21.7</v>
      </c>
      <c r="L108" s="11">
        <v>1970003</v>
      </c>
      <c r="M108" s="12">
        <v>0.2195</v>
      </c>
      <c r="N108" s="7">
        <v>3</v>
      </c>
      <c r="O108" s="1" t="s">
        <v>41</v>
      </c>
      <c r="P108" s="1">
        <v>8932625737</v>
      </c>
      <c r="Q108" s="1" t="s">
        <v>2649</v>
      </c>
      <c r="R108" s="10">
        <v>75</v>
      </c>
      <c r="S108" s="10">
        <v>16</v>
      </c>
      <c r="T108" s="1" t="s">
        <v>115</v>
      </c>
      <c r="U108" t="str">
        <f t="shared" si="6"/>
        <v>Valid</v>
      </c>
      <c r="V108">
        <f t="shared" si="7"/>
        <v>7</v>
      </c>
      <c r="W108" t="str">
        <f t="shared" si="8"/>
        <v>Jul</v>
      </c>
      <c r="X108">
        <f t="shared" si="9"/>
        <v>2022</v>
      </c>
      <c r="Y108">
        <f t="shared" ca="1" si="10"/>
        <v>3</v>
      </c>
      <c r="Z108" t="str" cm="1">
        <f t="array" ref="Z108">_xlfn.IFS(G108&lt;30,"20-29",G108&lt;40,"30-39",G108&lt;50,"40-49",G108&gt;=50,"50+")</f>
        <v>20-29</v>
      </c>
      <c r="AA108" t="str" cm="1">
        <f t="array" ref="AA108">_xlfn.IFS(L108&lt;500000,"Band 1: &lt;5L", L108&lt;1000000,"Band 2: 5-10L", L108&lt;1500000,"Band 3: 10-15L", L108&lt;2000000,"Band 4: 15-20L", L108&gt;=2000000,"Band 5: 20L+")</f>
        <v>Band 4: 15-20L</v>
      </c>
      <c r="AB108" t="str" cm="1">
        <f t="array" ref="AB108">_xlfn.IFS(N108=1,"Poor", N108=2,"Below Average", N108=3,"Average", N108=4,"Good", N108=5,"Excellent")</f>
        <v>Average</v>
      </c>
      <c r="AC108" s="14">
        <f t="shared" si="11"/>
        <v>432415.65850000002</v>
      </c>
      <c r="AD108" t="str" cm="1">
        <f t="array" ref="AD108">_xlfn.IFS(K108&lt;2,"Junior (0-2 yrs)", K108&lt;5,"Mid-Level (2-5 yrs)", K108&lt;10,"Senior (5-10 yrs)", K108&gt;=10,"Expert (10+ yrs)")</f>
        <v>Expert (10+ yrs)</v>
      </c>
    </row>
    <row r="109" spans="1:30" x14ac:dyDescent="0.3">
      <c r="A109" s="1" t="s">
        <v>822</v>
      </c>
      <c r="B109" s="1" t="s">
        <v>823</v>
      </c>
      <c r="C109" s="1" t="s">
        <v>58</v>
      </c>
      <c r="D109" s="1" t="s">
        <v>101</v>
      </c>
      <c r="E109" s="1" t="s">
        <v>290</v>
      </c>
      <c r="F109" s="1" t="s">
        <v>93</v>
      </c>
      <c r="G109" s="1">
        <v>40</v>
      </c>
      <c r="H109" s="1" t="s">
        <v>142</v>
      </c>
      <c r="I109" s="1" t="s">
        <v>39</v>
      </c>
      <c r="J109" s="5">
        <v>43873</v>
      </c>
      <c r="K109" s="8">
        <v>7.1</v>
      </c>
      <c r="L109" s="11">
        <v>1974703</v>
      </c>
      <c r="M109" s="12">
        <v>0.23989999999999997</v>
      </c>
      <c r="N109" s="7">
        <v>4</v>
      </c>
      <c r="O109" s="1" t="s">
        <v>41</v>
      </c>
      <c r="P109" s="1">
        <v>7468662769</v>
      </c>
      <c r="Q109" s="1" t="s">
        <v>2650</v>
      </c>
      <c r="R109" s="10">
        <v>55</v>
      </c>
      <c r="S109" s="10">
        <v>42</v>
      </c>
      <c r="T109" s="1" t="s">
        <v>252</v>
      </c>
      <c r="U109" t="str">
        <f t="shared" si="6"/>
        <v>Invalid</v>
      </c>
      <c r="V109">
        <f t="shared" si="7"/>
        <v>2</v>
      </c>
      <c r="W109" t="str">
        <f t="shared" si="8"/>
        <v>Feb</v>
      </c>
      <c r="X109">
        <f t="shared" si="9"/>
        <v>2020</v>
      </c>
      <c r="Y109">
        <f t="shared" ca="1" si="10"/>
        <v>6</v>
      </c>
      <c r="Z109" t="str" cm="1">
        <f t="array" ref="Z109">_xlfn.IFS(G109&lt;30,"20-29",G109&lt;40,"30-39",G109&lt;50,"40-49",G109&gt;=50,"50+")</f>
        <v>40-49</v>
      </c>
      <c r="AA109" t="str" cm="1">
        <f t="array" ref="AA109">_xlfn.IFS(L109&lt;500000,"Band 1: &lt;5L", L109&lt;1000000,"Band 2: 5-10L", L109&lt;1500000,"Band 3: 10-15L", L109&lt;2000000,"Band 4: 15-20L", L109&gt;=2000000,"Band 5: 20L+")</f>
        <v>Band 4: 15-20L</v>
      </c>
      <c r="AB109" t="str" cm="1">
        <f t="array" ref="AB109">_xlfn.IFS(N109=1,"Poor", N109=2,"Below Average", N109=3,"Average", N109=4,"Good", N109=5,"Excellent")</f>
        <v>Good</v>
      </c>
      <c r="AC109" s="14">
        <f t="shared" si="11"/>
        <v>473731.24969999993</v>
      </c>
      <c r="AD109" t="str" cm="1">
        <f t="array" ref="AD109">_xlfn.IFS(K109&lt;2,"Junior (0-2 yrs)", K109&lt;5,"Mid-Level (2-5 yrs)", K109&lt;10,"Senior (5-10 yrs)", K109&gt;=10,"Expert (10+ yrs)")</f>
        <v>Senior (5-10 yrs)</v>
      </c>
    </row>
    <row r="110" spans="1:30" x14ac:dyDescent="0.3">
      <c r="A110" s="1" t="s">
        <v>837</v>
      </c>
      <c r="B110" s="1" t="s">
        <v>838</v>
      </c>
      <c r="C110" s="1" t="s">
        <v>69</v>
      </c>
      <c r="D110" s="1" t="s">
        <v>244</v>
      </c>
      <c r="E110" s="1" t="s">
        <v>155</v>
      </c>
      <c r="F110" s="1" t="s">
        <v>37</v>
      </c>
      <c r="G110" s="1">
        <v>25</v>
      </c>
      <c r="H110" s="1" t="s">
        <v>38</v>
      </c>
      <c r="I110" s="1" t="s">
        <v>39</v>
      </c>
      <c r="J110" s="5">
        <v>40849</v>
      </c>
      <c r="K110" s="8">
        <v>18.5</v>
      </c>
      <c r="L110" s="11">
        <v>2153540</v>
      </c>
      <c r="M110" s="12">
        <v>0.14990000000000001</v>
      </c>
      <c r="N110" s="7">
        <v>5</v>
      </c>
      <c r="O110" s="1" t="s">
        <v>76</v>
      </c>
      <c r="P110" s="1">
        <v>7411587803</v>
      </c>
      <c r="Q110" s="1" t="s">
        <v>2535</v>
      </c>
      <c r="R110" s="10">
        <v>1</v>
      </c>
      <c r="S110" s="10">
        <v>59</v>
      </c>
      <c r="T110" s="1" t="s">
        <v>797</v>
      </c>
      <c r="U110" t="str">
        <f t="shared" si="6"/>
        <v>Invalid</v>
      </c>
      <c r="V110">
        <f t="shared" si="7"/>
        <v>11</v>
      </c>
      <c r="W110" t="str">
        <f t="shared" si="8"/>
        <v>Nov</v>
      </c>
      <c r="X110">
        <f t="shared" si="9"/>
        <v>2011</v>
      </c>
      <c r="Y110">
        <f t="shared" ca="1" si="10"/>
        <v>14</v>
      </c>
      <c r="Z110" t="str" cm="1">
        <f t="array" ref="Z110">_xlfn.IFS(G110&lt;30,"20-29",G110&lt;40,"30-39",G110&lt;50,"40-49",G110&gt;=50,"50+")</f>
        <v>20-29</v>
      </c>
      <c r="AA110" t="str" cm="1">
        <f t="array" ref="AA110">_xlfn.IFS(L110&lt;500000,"Band 1: &lt;5L", L110&lt;1000000,"Band 2: 5-10L", L110&lt;1500000,"Band 3: 10-15L", L110&lt;2000000,"Band 4: 15-20L", L110&gt;=2000000,"Band 5: 20L+")</f>
        <v>Band 5: 20L+</v>
      </c>
      <c r="AB110" t="str" cm="1">
        <f t="array" ref="AB110">_xlfn.IFS(N110=1,"Poor", N110=2,"Below Average", N110=3,"Average", N110=4,"Good", N110=5,"Excellent")</f>
        <v>Excellent</v>
      </c>
      <c r="AC110" s="14">
        <f t="shared" si="11"/>
        <v>322815.64600000001</v>
      </c>
      <c r="AD110" t="str" cm="1">
        <f t="array" ref="AD110">_xlfn.IFS(K110&lt;2,"Junior (0-2 yrs)", K110&lt;5,"Mid-Level (2-5 yrs)", K110&lt;10,"Senior (5-10 yrs)", K110&gt;=10,"Expert (10+ yrs)")</f>
        <v>Expert (10+ yrs)</v>
      </c>
    </row>
    <row r="111" spans="1:30" x14ac:dyDescent="0.3">
      <c r="A111" s="1" t="s">
        <v>629</v>
      </c>
      <c r="B111" s="1" t="s">
        <v>851</v>
      </c>
      <c r="C111" s="1" t="s">
        <v>132</v>
      </c>
      <c r="D111" s="1" t="s">
        <v>23</v>
      </c>
      <c r="E111" s="1" t="s">
        <v>92</v>
      </c>
      <c r="F111" s="1" t="s">
        <v>37</v>
      </c>
      <c r="G111" s="1">
        <v>56</v>
      </c>
      <c r="H111" s="1" t="s">
        <v>218</v>
      </c>
      <c r="I111" s="1" t="s">
        <v>39</v>
      </c>
      <c r="J111" s="5">
        <v>40186</v>
      </c>
      <c r="K111" s="8">
        <v>2.5</v>
      </c>
      <c r="L111" s="11">
        <v>1767840</v>
      </c>
      <c r="M111" s="12">
        <v>5.45E-2</v>
      </c>
      <c r="N111" s="7">
        <v>1</v>
      </c>
      <c r="O111" s="1" t="s">
        <v>41</v>
      </c>
      <c r="P111" s="1">
        <v>7542114964</v>
      </c>
      <c r="Q111" s="1" t="s">
        <v>2651</v>
      </c>
      <c r="R111" s="10">
        <v>47</v>
      </c>
      <c r="S111" s="10">
        <v>77</v>
      </c>
      <c r="T111" s="1" t="s">
        <v>43</v>
      </c>
      <c r="U111" t="str">
        <f t="shared" si="6"/>
        <v>Invalid</v>
      </c>
      <c r="V111">
        <f t="shared" si="7"/>
        <v>1</v>
      </c>
      <c r="W111" t="str">
        <f t="shared" si="8"/>
        <v>Jan</v>
      </c>
      <c r="X111">
        <f t="shared" si="9"/>
        <v>2010</v>
      </c>
      <c r="Y111">
        <f t="shared" ca="1" si="10"/>
        <v>16</v>
      </c>
      <c r="Z111" t="str" cm="1">
        <f t="array" ref="Z111">_xlfn.IFS(G111&lt;30,"20-29",G111&lt;40,"30-39",G111&lt;50,"40-49",G111&gt;=50,"50+")</f>
        <v>50+</v>
      </c>
      <c r="AA111" t="str" cm="1">
        <f t="array" ref="AA111">_xlfn.IFS(L111&lt;500000,"Band 1: &lt;5L", L111&lt;1000000,"Band 2: 5-10L", L111&lt;1500000,"Band 3: 10-15L", L111&lt;2000000,"Band 4: 15-20L", L111&gt;=2000000,"Band 5: 20L+")</f>
        <v>Band 4: 15-20L</v>
      </c>
      <c r="AB111" t="str" cm="1">
        <f t="array" ref="AB111">_xlfn.IFS(N111=1,"Poor", N111=2,"Below Average", N111=3,"Average", N111=4,"Good", N111=5,"Excellent")</f>
        <v>Poor</v>
      </c>
      <c r="AC111" s="14">
        <f t="shared" si="11"/>
        <v>96347.28</v>
      </c>
      <c r="AD111" t="str" cm="1">
        <f t="array" ref="AD111">_xlfn.IFS(K111&lt;2,"Junior (0-2 yrs)", K111&lt;5,"Mid-Level (2-5 yrs)", K111&lt;10,"Senior (5-10 yrs)", K111&gt;=10,"Expert (10+ yrs)")</f>
        <v>Mid-Level (2-5 yrs)</v>
      </c>
    </row>
    <row r="112" spans="1:30" x14ac:dyDescent="0.3">
      <c r="A112" s="1" t="s">
        <v>855</v>
      </c>
      <c r="B112" s="1" t="s">
        <v>856</v>
      </c>
      <c r="C112" s="1" t="s">
        <v>69</v>
      </c>
      <c r="D112" s="1" t="s">
        <v>244</v>
      </c>
      <c r="E112" s="1" t="s">
        <v>36</v>
      </c>
      <c r="F112" s="1" t="s">
        <v>93</v>
      </c>
      <c r="G112" s="1">
        <v>27</v>
      </c>
      <c r="H112" s="1" t="s">
        <v>204</v>
      </c>
      <c r="I112" s="1" t="s">
        <v>39</v>
      </c>
      <c r="J112" s="5">
        <v>43300</v>
      </c>
      <c r="K112" s="8">
        <v>13.7</v>
      </c>
      <c r="L112" s="11">
        <v>845525</v>
      </c>
      <c r="M112" s="12">
        <v>0.23699999999999999</v>
      </c>
      <c r="N112" s="7">
        <v>3</v>
      </c>
      <c r="O112" s="1" t="s">
        <v>41</v>
      </c>
      <c r="P112" s="1">
        <v>9142446952</v>
      </c>
      <c r="Q112" s="1" t="s">
        <v>2652</v>
      </c>
      <c r="R112" s="10">
        <v>53</v>
      </c>
      <c r="S112" s="10">
        <v>18</v>
      </c>
      <c r="T112" s="1" t="s">
        <v>227</v>
      </c>
      <c r="U112" t="str">
        <f t="shared" si="6"/>
        <v>Invalid</v>
      </c>
      <c r="V112">
        <f t="shared" si="7"/>
        <v>7</v>
      </c>
      <c r="W112" t="str">
        <f t="shared" si="8"/>
        <v>Jul</v>
      </c>
      <c r="X112">
        <f t="shared" si="9"/>
        <v>2018</v>
      </c>
      <c r="Y112">
        <f t="shared" ca="1" si="10"/>
        <v>7</v>
      </c>
      <c r="Z112" t="str" cm="1">
        <f t="array" ref="Z112">_xlfn.IFS(G112&lt;30,"20-29",G112&lt;40,"30-39",G112&lt;50,"40-49",G112&gt;=50,"50+")</f>
        <v>20-29</v>
      </c>
      <c r="AA112" t="str" cm="1">
        <f t="array" ref="AA112">_xlfn.IFS(L112&lt;500000,"Band 1: &lt;5L", L112&lt;1000000,"Band 2: 5-10L", L112&lt;1500000,"Band 3: 10-15L", L112&lt;2000000,"Band 4: 15-20L", L112&gt;=2000000,"Band 5: 20L+")</f>
        <v>Band 2: 5-10L</v>
      </c>
      <c r="AB112" t="str" cm="1">
        <f t="array" ref="AB112">_xlfn.IFS(N112=1,"Poor", N112=2,"Below Average", N112=3,"Average", N112=4,"Good", N112=5,"Excellent")</f>
        <v>Average</v>
      </c>
      <c r="AC112" s="14">
        <f t="shared" si="11"/>
        <v>200389.42499999999</v>
      </c>
      <c r="AD112" t="str" cm="1">
        <f t="array" ref="AD112">_xlfn.IFS(K112&lt;2,"Junior (0-2 yrs)", K112&lt;5,"Mid-Level (2-5 yrs)", K112&lt;10,"Senior (5-10 yrs)", K112&gt;=10,"Expert (10+ yrs)")</f>
        <v>Expert (10+ yrs)</v>
      </c>
    </row>
    <row r="113" spans="1:30" x14ac:dyDescent="0.3">
      <c r="A113" s="1" t="s">
        <v>860</v>
      </c>
      <c r="B113" s="1" t="s">
        <v>861</v>
      </c>
      <c r="C113" s="1" t="s">
        <v>197</v>
      </c>
      <c r="D113" s="1" t="s">
        <v>23</v>
      </c>
      <c r="E113" s="1" t="s">
        <v>189</v>
      </c>
      <c r="F113" s="1" t="s">
        <v>93</v>
      </c>
      <c r="G113" s="1">
        <v>31</v>
      </c>
      <c r="H113" s="1" t="s">
        <v>73</v>
      </c>
      <c r="I113" s="1" t="s">
        <v>51</v>
      </c>
      <c r="J113" s="5">
        <v>41188</v>
      </c>
      <c r="K113" s="8">
        <v>24.6</v>
      </c>
      <c r="L113" s="11">
        <v>358511</v>
      </c>
      <c r="M113" s="12">
        <v>3.9599999999999996E-2</v>
      </c>
      <c r="N113" s="7">
        <v>1</v>
      </c>
      <c r="O113" s="1" t="s">
        <v>41</v>
      </c>
      <c r="P113" s="1">
        <v>8163464032</v>
      </c>
      <c r="Q113" s="1" t="s">
        <v>2653</v>
      </c>
      <c r="R113" s="10">
        <v>70</v>
      </c>
      <c r="S113" s="10">
        <v>24</v>
      </c>
      <c r="T113" s="1" t="s">
        <v>865</v>
      </c>
      <c r="U113" t="str">
        <f t="shared" si="6"/>
        <v>Valid</v>
      </c>
      <c r="V113">
        <f t="shared" si="7"/>
        <v>10</v>
      </c>
      <c r="W113" t="str">
        <f t="shared" si="8"/>
        <v>Oct</v>
      </c>
      <c r="X113">
        <f t="shared" si="9"/>
        <v>2012</v>
      </c>
      <c r="Y113">
        <f t="shared" ca="1" si="10"/>
        <v>13</v>
      </c>
      <c r="Z113" t="str" cm="1">
        <f t="array" ref="Z113">_xlfn.IFS(G113&lt;30,"20-29",G113&lt;40,"30-39",G113&lt;50,"40-49",G113&gt;=50,"50+")</f>
        <v>30-39</v>
      </c>
      <c r="AA113" t="str" cm="1">
        <f t="array" ref="AA113">_xlfn.IFS(L113&lt;500000,"Band 1: &lt;5L", L113&lt;1000000,"Band 2: 5-10L", L113&lt;1500000,"Band 3: 10-15L", L113&lt;2000000,"Band 4: 15-20L", L113&gt;=2000000,"Band 5: 20L+")</f>
        <v>Band 1: &lt;5L</v>
      </c>
      <c r="AB113" t="str" cm="1">
        <f t="array" ref="AB113">_xlfn.IFS(N113=1,"Poor", N113=2,"Below Average", N113=3,"Average", N113=4,"Good", N113=5,"Excellent")</f>
        <v>Poor</v>
      </c>
      <c r="AC113" s="14">
        <f t="shared" si="11"/>
        <v>14197.035599999999</v>
      </c>
      <c r="AD113" t="str" cm="1">
        <f t="array" ref="AD113">_xlfn.IFS(K113&lt;2,"Junior (0-2 yrs)", K113&lt;5,"Mid-Level (2-5 yrs)", K113&lt;10,"Senior (5-10 yrs)", K113&gt;=10,"Expert (10+ yrs)")</f>
        <v>Expert (10+ yrs)</v>
      </c>
    </row>
    <row r="114" spans="1:30" x14ac:dyDescent="0.3">
      <c r="A114" s="1" t="s">
        <v>702</v>
      </c>
      <c r="B114" s="1" t="s">
        <v>870</v>
      </c>
      <c r="C114" s="1" t="s">
        <v>46</v>
      </c>
      <c r="D114" s="1" t="s">
        <v>83</v>
      </c>
      <c r="E114" s="1" t="s">
        <v>24</v>
      </c>
      <c r="F114" s="1" t="s">
        <v>93</v>
      </c>
      <c r="G114" s="1">
        <v>33</v>
      </c>
      <c r="H114" s="1" t="s">
        <v>38</v>
      </c>
      <c r="I114" s="1" t="s">
        <v>51</v>
      </c>
      <c r="J114" s="5">
        <v>43031</v>
      </c>
      <c r="K114" s="8">
        <v>10.199999999999999</v>
      </c>
      <c r="L114" s="11">
        <v>1647258</v>
      </c>
      <c r="M114" s="12">
        <v>0.245</v>
      </c>
      <c r="N114" s="7">
        <v>4</v>
      </c>
      <c r="O114" s="1" t="s">
        <v>76</v>
      </c>
      <c r="P114" s="1">
        <v>8514230707</v>
      </c>
      <c r="Q114" s="1" t="s">
        <v>2654</v>
      </c>
      <c r="R114" s="10">
        <v>9</v>
      </c>
      <c r="S114" s="10">
        <v>51</v>
      </c>
      <c r="T114" s="1" t="s">
        <v>812</v>
      </c>
      <c r="U114" t="str">
        <f t="shared" si="6"/>
        <v>Valid</v>
      </c>
      <c r="V114">
        <f t="shared" si="7"/>
        <v>10</v>
      </c>
      <c r="W114" t="str">
        <f t="shared" si="8"/>
        <v>Oct</v>
      </c>
      <c r="X114">
        <f t="shared" si="9"/>
        <v>2017</v>
      </c>
      <c r="Y114">
        <f t="shared" ca="1" si="10"/>
        <v>8</v>
      </c>
      <c r="Z114" t="str" cm="1">
        <f t="array" ref="Z114">_xlfn.IFS(G114&lt;30,"20-29",G114&lt;40,"30-39",G114&lt;50,"40-49",G114&gt;=50,"50+")</f>
        <v>30-39</v>
      </c>
      <c r="AA114" t="str" cm="1">
        <f t="array" ref="AA114">_xlfn.IFS(L114&lt;500000,"Band 1: &lt;5L", L114&lt;1000000,"Band 2: 5-10L", L114&lt;1500000,"Band 3: 10-15L", L114&lt;2000000,"Band 4: 15-20L", L114&gt;=2000000,"Band 5: 20L+")</f>
        <v>Band 4: 15-20L</v>
      </c>
      <c r="AB114" t="str" cm="1">
        <f t="array" ref="AB114">_xlfn.IFS(N114=1,"Poor", N114=2,"Below Average", N114=3,"Average", N114=4,"Good", N114=5,"Excellent")</f>
        <v>Good</v>
      </c>
      <c r="AC114" s="14">
        <f t="shared" si="11"/>
        <v>403578.21</v>
      </c>
      <c r="AD114" t="str" cm="1">
        <f t="array" ref="AD114">_xlfn.IFS(K114&lt;2,"Junior (0-2 yrs)", K114&lt;5,"Mid-Level (2-5 yrs)", K114&lt;10,"Senior (5-10 yrs)", K114&gt;=10,"Expert (10+ yrs)")</f>
        <v>Expert (10+ yrs)</v>
      </c>
    </row>
    <row r="115" spans="1:30" x14ac:dyDescent="0.3">
      <c r="A115" s="1" t="s">
        <v>874</v>
      </c>
      <c r="B115" s="1" t="s">
        <v>875</v>
      </c>
      <c r="C115" s="1" t="s">
        <v>110</v>
      </c>
      <c r="D115" s="1" t="s">
        <v>111</v>
      </c>
      <c r="E115" s="1" t="s">
        <v>36</v>
      </c>
      <c r="F115" s="1" t="s">
        <v>93</v>
      </c>
      <c r="G115" s="1">
        <v>58</v>
      </c>
      <c r="H115" s="1" t="s">
        <v>204</v>
      </c>
      <c r="I115" s="1" t="s">
        <v>39</v>
      </c>
      <c r="J115" s="5">
        <v>41087</v>
      </c>
      <c r="K115" s="8">
        <v>16.2</v>
      </c>
      <c r="L115" s="11">
        <v>1631675</v>
      </c>
      <c r="M115" s="12">
        <v>0.2235</v>
      </c>
      <c r="N115" s="7">
        <v>1</v>
      </c>
      <c r="O115" s="1" t="s">
        <v>76</v>
      </c>
      <c r="P115" s="1">
        <v>8766312876</v>
      </c>
      <c r="Q115" s="1" t="s">
        <v>2655</v>
      </c>
      <c r="R115" s="10">
        <v>35</v>
      </c>
      <c r="S115" s="10">
        <v>24</v>
      </c>
      <c r="T115" s="1" t="s">
        <v>573</v>
      </c>
      <c r="U115" t="str">
        <f t="shared" si="6"/>
        <v>Valid</v>
      </c>
      <c r="V115">
        <f t="shared" si="7"/>
        <v>6</v>
      </c>
      <c r="W115" t="str">
        <f t="shared" si="8"/>
        <v>Jun</v>
      </c>
      <c r="X115">
        <f t="shared" si="9"/>
        <v>2012</v>
      </c>
      <c r="Y115">
        <f t="shared" ca="1" si="10"/>
        <v>13</v>
      </c>
      <c r="Z115" t="str" cm="1">
        <f t="array" ref="Z115">_xlfn.IFS(G115&lt;30,"20-29",G115&lt;40,"30-39",G115&lt;50,"40-49",G115&gt;=50,"50+")</f>
        <v>50+</v>
      </c>
      <c r="AA115" t="str" cm="1">
        <f t="array" ref="AA115">_xlfn.IFS(L115&lt;500000,"Band 1: &lt;5L", L115&lt;1000000,"Band 2: 5-10L", L115&lt;1500000,"Band 3: 10-15L", L115&lt;2000000,"Band 4: 15-20L", L115&gt;=2000000,"Band 5: 20L+")</f>
        <v>Band 4: 15-20L</v>
      </c>
      <c r="AB115" t="str" cm="1">
        <f t="array" ref="AB115">_xlfn.IFS(N115=1,"Poor", N115=2,"Below Average", N115=3,"Average", N115=4,"Good", N115=5,"Excellent")</f>
        <v>Poor</v>
      </c>
      <c r="AC115" s="14">
        <f t="shared" si="11"/>
        <v>364679.36249999999</v>
      </c>
      <c r="AD115" t="str" cm="1">
        <f t="array" ref="AD115">_xlfn.IFS(K115&lt;2,"Junior (0-2 yrs)", K115&lt;5,"Mid-Level (2-5 yrs)", K115&lt;10,"Senior (5-10 yrs)", K115&gt;=10,"Expert (10+ yrs)")</f>
        <v>Expert (10+ yrs)</v>
      </c>
    </row>
    <row r="116" spans="1:30" x14ac:dyDescent="0.3">
      <c r="A116" s="1" t="s">
        <v>879</v>
      </c>
      <c r="B116" s="1" t="s">
        <v>880</v>
      </c>
      <c r="C116" s="1" t="s">
        <v>58</v>
      </c>
      <c r="D116" s="1" t="s">
        <v>231</v>
      </c>
      <c r="E116" s="1" t="s">
        <v>24</v>
      </c>
      <c r="F116" s="1" t="s">
        <v>93</v>
      </c>
      <c r="G116" s="1">
        <v>34</v>
      </c>
      <c r="H116" s="1" t="s">
        <v>103</v>
      </c>
      <c r="I116" s="1" t="s">
        <v>198</v>
      </c>
      <c r="J116" s="5">
        <v>44433</v>
      </c>
      <c r="K116" s="8">
        <v>16.600000000000001</v>
      </c>
      <c r="L116" s="11">
        <v>713715</v>
      </c>
      <c r="M116" s="12">
        <v>0.1898</v>
      </c>
      <c r="N116" s="7">
        <v>3</v>
      </c>
      <c r="O116" s="1" t="s">
        <v>41</v>
      </c>
      <c r="P116" s="1">
        <v>8796209273</v>
      </c>
      <c r="Q116" s="1" t="s">
        <v>2656</v>
      </c>
      <c r="R116" s="10">
        <v>71</v>
      </c>
      <c r="S116" s="10">
        <v>114</v>
      </c>
      <c r="T116" s="1" t="s">
        <v>812</v>
      </c>
      <c r="U116" t="str">
        <f t="shared" si="6"/>
        <v>Valid</v>
      </c>
      <c r="V116">
        <f t="shared" si="7"/>
        <v>8</v>
      </c>
      <c r="W116" t="str">
        <f t="shared" si="8"/>
        <v>Aug</v>
      </c>
      <c r="X116">
        <f t="shared" si="9"/>
        <v>2021</v>
      </c>
      <c r="Y116">
        <f t="shared" ca="1" si="10"/>
        <v>4</v>
      </c>
      <c r="Z116" t="str" cm="1">
        <f t="array" ref="Z116">_xlfn.IFS(G116&lt;30,"20-29",G116&lt;40,"30-39",G116&lt;50,"40-49",G116&gt;=50,"50+")</f>
        <v>30-39</v>
      </c>
      <c r="AA116" t="str" cm="1">
        <f t="array" ref="AA116">_xlfn.IFS(L116&lt;500000,"Band 1: &lt;5L", L116&lt;1000000,"Band 2: 5-10L", L116&lt;1500000,"Band 3: 10-15L", L116&lt;2000000,"Band 4: 15-20L", L116&gt;=2000000,"Band 5: 20L+")</f>
        <v>Band 2: 5-10L</v>
      </c>
      <c r="AB116" t="str" cm="1">
        <f t="array" ref="AB116">_xlfn.IFS(N116=1,"Poor", N116=2,"Below Average", N116=3,"Average", N116=4,"Good", N116=5,"Excellent")</f>
        <v>Average</v>
      </c>
      <c r="AC116" s="14">
        <f t="shared" si="11"/>
        <v>135463.10699999999</v>
      </c>
      <c r="AD116" t="str" cm="1">
        <f t="array" ref="AD116">_xlfn.IFS(K116&lt;2,"Junior (0-2 yrs)", K116&lt;5,"Mid-Level (2-5 yrs)", K116&lt;10,"Senior (5-10 yrs)", K116&gt;=10,"Expert (10+ yrs)")</f>
        <v>Expert (10+ yrs)</v>
      </c>
    </row>
    <row r="117" spans="1:30" x14ac:dyDescent="0.3">
      <c r="A117" s="1" t="s">
        <v>884</v>
      </c>
      <c r="B117" s="1" t="s">
        <v>885</v>
      </c>
      <c r="C117" s="1" t="s">
        <v>69</v>
      </c>
      <c r="D117" s="1" t="s">
        <v>23</v>
      </c>
      <c r="E117" s="1" t="s">
        <v>189</v>
      </c>
      <c r="F117" s="1" t="s">
        <v>37</v>
      </c>
      <c r="G117" s="1">
        <v>26</v>
      </c>
      <c r="H117" s="1" t="s">
        <v>73</v>
      </c>
      <c r="I117" s="1" t="s">
        <v>74</v>
      </c>
      <c r="J117" s="5">
        <v>44108</v>
      </c>
      <c r="K117" s="8">
        <v>8.8000000000000007</v>
      </c>
      <c r="L117" s="11">
        <v>2188923</v>
      </c>
      <c r="M117" s="12">
        <v>0.15060000000000001</v>
      </c>
      <c r="N117" s="7">
        <v>2</v>
      </c>
      <c r="O117" s="1" t="s">
        <v>41</v>
      </c>
      <c r="P117" s="1">
        <v>9395869480</v>
      </c>
      <c r="Q117" s="1" t="s">
        <v>2657</v>
      </c>
      <c r="R117" s="10">
        <v>5</v>
      </c>
      <c r="S117" s="10">
        <v>17</v>
      </c>
      <c r="T117" s="1" t="s">
        <v>479</v>
      </c>
      <c r="U117" t="str">
        <f t="shared" si="6"/>
        <v>Invalid</v>
      </c>
      <c r="V117">
        <f t="shared" si="7"/>
        <v>10</v>
      </c>
      <c r="W117" t="str">
        <f t="shared" si="8"/>
        <v>Oct</v>
      </c>
      <c r="X117">
        <f t="shared" si="9"/>
        <v>2020</v>
      </c>
      <c r="Y117">
        <f t="shared" ca="1" si="10"/>
        <v>5</v>
      </c>
      <c r="Z117" t="str" cm="1">
        <f t="array" ref="Z117">_xlfn.IFS(G117&lt;30,"20-29",G117&lt;40,"30-39",G117&lt;50,"40-49",G117&gt;=50,"50+")</f>
        <v>20-29</v>
      </c>
      <c r="AA117" t="str" cm="1">
        <f t="array" ref="AA117">_xlfn.IFS(L117&lt;500000,"Band 1: &lt;5L", L117&lt;1000000,"Band 2: 5-10L", L117&lt;1500000,"Band 3: 10-15L", L117&lt;2000000,"Band 4: 15-20L", L117&gt;=2000000,"Band 5: 20L+")</f>
        <v>Band 5: 20L+</v>
      </c>
      <c r="AB117" t="str" cm="1">
        <f t="array" ref="AB117">_xlfn.IFS(N117=1,"Poor", N117=2,"Below Average", N117=3,"Average", N117=4,"Good", N117=5,"Excellent")</f>
        <v>Below Average</v>
      </c>
      <c r="AC117" s="14">
        <f t="shared" si="11"/>
        <v>329651.80380000005</v>
      </c>
      <c r="AD117" t="str" cm="1">
        <f t="array" ref="AD117">_xlfn.IFS(K117&lt;2,"Junior (0-2 yrs)", K117&lt;5,"Mid-Level (2-5 yrs)", K117&lt;10,"Senior (5-10 yrs)", K117&gt;=10,"Expert (10+ yrs)")</f>
        <v>Senior (5-10 yrs)</v>
      </c>
    </row>
    <row r="118" spans="1:30" x14ac:dyDescent="0.3">
      <c r="A118" s="1" t="s">
        <v>894</v>
      </c>
      <c r="B118" s="1" t="s">
        <v>895</v>
      </c>
      <c r="C118" s="1" t="s">
        <v>124</v>
      </c>
      <c r="D118" s="1" t="s">
        <v>244</v>
      </c>
      <c r="E118" s="1" t="s">
        <v>189</v>
      </c>
      <c r="F118" s="1" t="s">
        <v>37</v>
      </c>
      <c r="G118" s="1">
        <v>29</v>
      </c>
      <c r="H118" s="1" t="s">
        <v>103</v>
      </c>
      <c r="I118" s="1" t="s">
        <v>39</v>
      </c>
      <c r="J118" s="5">
        <v>44624</v>
      </c>
      <c r="K118" s="8">
        <v>23</v>
      </c>
      <c r="L118" s="11">
        <v>844870</v>
      </c>
      <c r="M118" s="12">
        <v>0.17309999999999998</v>
      </c>
      <c r="N118" s="7">
        <v>5</v>
      </c>
      <c r="O118" s="1" t="s">
        <v>41</v>
      </c>
      <c r="P118" s="1">
        <v>9743541394</v>
      </c>
      <c r="Q118" s="1" t="s">
        <v>2536</v>
      </c>
      <c r="R118" s="10">
        <v>41</v>
      </c>
      <c r="S118" s="10">
        <v>99</v>
      </c>
      <c r="T118" s="1" t="s">
        <v>559</v>
      </c>
      <c r="U118" t="str">
        <f t="shared" si="6"/>
        <v>Invalid</v>
      </c>
      <c r="V118">
        <f t="shared" si="7"/>
        <v>3</v>
      </c>
      <c r="W118" t="str">
        <f t="shared" si="8"/>
        <v>Mar</v>
      </c>
      <c r="X118">
        <f t="shared" si="9"/>
        <v>2022</v>
      </c>
      <c r="Y118">
        <f t="shared" ca="1" si="10"/>
        <v>4</v>
      </c>
      <c r="Z118" t="str" cm="1">
        <f t="array" ref="Z118">_xlfn.IFS(G118&lt;30,"20-29",G118&lt;40,"30-39",G118&lt;50,"40-49",G118&gt;=50,"50+")</f>
        <v>20-29</v>
      </c>
      <c r="AA118" t="str" cm="1">
        <f t="array" ref="AA118">_xlfn.IFS(L118&lt;500000,"Band 1: &lt;5L", L118&lt;1000000,"Band 2: 5-10L", L118&lt;1500000,"Band 3: 10-15L", L118&lt;2000000,"Band 4: 15-20L", L118&gt;=2000000,"Band 5: 20L+")</f>
        <v>Band 2: 5-10L</v>
      </c>
      <c r="AB118" t="str" cm="1">
        <f t="array" ref="AB118">_xlfn.IFS(N118=1,"Poor", N118=2,"Below Average", N118=3,"Average", N118=4,"Good", N118=5,"Excellent")</f>
        <v>Excellent</v>
      </c>
      <c r="AC118" s="14">
        <f t="shared" si="11"/>
        <v>146246.99699999997</v>
      </c>
      <c r="AD118" t="str" cm="1">
        <f t="array" ref="AD118">_xlfn.IFS(K118&lt;2,"Junior (0-2 yrs)", K118&lt;5,"Mid-Level (2-5 yrs)", K118&lt;10,"Senior (5-10 yrs)", K118&gt;=10,"Expert (10+ yrs)")</f>
        <v>Expert (10+ yrs)</v>
      </c>
    </row>
    <row r="119" spans="1:30" x14ac:dyDescent="0.3">
      <c r="A119" s="1" t="s">
        <v>899</v>
      </c>
      <c r="B119" s="1" t="s">
        <v>900</v>
      </c>
      <c r="C119" s="1" t="s">
        <v>58</v>
      </c>
      <c r="D119" s="1" t="s">
        <v>23</v>
      </c>
      <c r="E119" s="1" t="s">
        <v>36</v>
      </c>
      <c r="F119" s="1" t="s">
        <v>37</v>
      </c>
      <c r="G119" s="1">
        <v>28</v>
      </c>
      <c r="H119" s="1" t="s">
        <v>62</v>
      </c>
      <c r="I119" s="1" t="s">
        <v>51</v>
      </c>
      <c r="J119" s="5">
        <v>43205</v>
      </c>
      <c r="K119" s="8">
        <v>21.7</v>
      </c>
      <c r="L119" s="11">
        <v>1255564</v>
      </c>
      <c r="M119" s="12">
        <v>4.2800000000000005E-2</v>
      </c>
      <c r="N119" s="7">
        <v>1</v>
      </c>
      <c r="O119" s="1" t="s">
        <v>41</v>
      </c>
      <c r="P119" s="1">
        <v>9135169757</v>
      </c>
      <c r="Q119" s="1" t="s">
        <v>2658</v>
      </c>
      <c r="R119" s="10">
        <v>71</v>
      </c>
      <c r="S119" s="10">
        <v>114</v>
      </c>
      <c r="T119" s="1" t="s">
        <v>568</v>
      </c>
      <c r="U119" t="str">
        <f t="shared" si="6"/>
        <v>Invalid</v>
      </c>
      <c r="V119">
        <f t="shared" si="7"/>
        <v>4</v>
      </c>
      <c r="W119" t="str">
        <f t="shared" si="8"/>
        <v>Apr</v>
      </c>
      <c r="X119">
        <f t="shared" si="9"/>
        <v>2018</v>
      </c>
      <c r="Y119">
        <f t="shared" ca="1" si="10"/>
        <v>7</v>
      </c>
      <c r="Z119" t="str" cm="1">
        <f t="array" ref="Z119">_xlfn.IFS(G119&lt;30,"20-29",G119&lt;40,"30-39",G119&lt;50,"40-49",G119&gt;=50,"50+")</f>
        <v>20-29</v>
      </c>
      <c r="AA119" t="str" cm="1">
        <f t="array" ref="AA119">_xlfn.IFS(L119&lt;500000,"Band 1: &lt;5L", L119&lt;1000000,"Band 2: 5-10L", L119&lt;1500000,"Band 3: 10-15L", L119&lt;2000000,"Band 4: 15-20L", L119&gt;=2000000,"Band 5: 20L+")</f>
        <v>Band 3: 10-15L</v>
      </c>
      <c r="AB119" t="str" cm="1">
        <f t="array" ref="AB119">_xlfn.IFS(N119=1,"Poor", N119=2,"Below Average", N119=3,"Average", N119=4,"Good", N119=5,"Excellent")</f>
        <v>Poor</v>
      </c>
      <c r="AC119" s="14">
        <f t="shared" si="11"/>
        <v>53738.139200000005</v>
      </c>
      <c r="AD119" t="str" cm="1">
        <f t="array" ref="AD119">_xlfn.IFS(K119&lt;2,"Junior (0-2 yrs)", K119&lt;5,"Mid-Level (2-5 yrs)", K119&lt;10,"Senior (5-10 yrs)", K119&gt;=10,"Expert (10+ yrs)")</f>
        <v>Expert (10+ yrs)</v>
      </c>
    </row>
    <row r="120" spans="1:30" x14ac:dyDescent="0.3">
      <c r="A120" s="1" t="s">
        <v>904</v>
      </c>
      <c r="B120" s="1" t="s">
        <v>905</v>
      </c>
      <c r="C120" s="1" t="s">
        <v>124</v>
      </c>
      <c r="D120" s="1" t="s">
        <v>244</v>
      </c>
      <c r="E120" s="1" t="s">
        <v>92</v>
      </c>
      <c r="F120" s="1" t="s">
        <v>93</v>
      </c>
      <c r="G120" s="1">
        <v>26</v>
      </c>
      <c r="H120" s="1" t="s">
        <v>204</v>
      </c>
      <c r="I120" s="1" t="s">
        <v>198</v>
      </c>
      <c r="J120" s="5">
        <v>43522</v>
      </c>
      <c r="K120" s="8">
        <v>23.3</v>
      </c>
      <c r="L120" s="11">
        <v>1318584</v>
      </c>
      <c r="M120" s="12">
        <v>3.2000000000000002E-3</v>
      </c>
      <c r="N120" s="7">
        <v>1</v>
      </c>
      <c r="O120" s="1" t="s">
        <v>76</v>
      </c>
      <c r="P120" s="1">
        <v>9841212515</v>
      </c>
      <c r="Q120" s="1" t="s">
        <v>2659</v>
      </c>
      <c r="R120" s="10">
        <v>62</v>
      </c>
      <c r="S120" s="10">
        <v>46</v>
      </c>
      <c r="T120" s="1" t="s">
        <v>677</v>
      </c>
      <c r="U120" t="str">
        <f t="shared" si="6"/>
        <v>Valid</v>
      </c>
      <c r="V120">
        <f t="shared" si="7"/>
        <v>2</v>
      </c>
      <c r="W120" t="str">
        <f t="shared" si="8"/>
        <v>Feb</v>
      </c>
      <c r="X120">
        <f t="shared" si="9"/>
        <v>2019</v>
      </c>
      <c r="Y120">
        <f t="shared" ca="1" si="10"/>
        <v>7</v>
      </c>
      <c r="Z120" t="str" cm="1">
        <f t="array" ref="Z120">_xlfn.IFS(G120&lt;30,"20-29",G120&lt;40,"30-39",G120&lt;50,"40-49",G120&gt;=50,"50+")</f>
        <v>20-29</v>
      </c>
      <c r="AA120" t="str" cm="1">
        <f t="array" ref="AA120">_xlfn.IFS(L120&lt;500000,"Band 1: &lt;5L", L120&lt;1000000,"Band 2: 5-10L", L120&lt;1500000,"Band 3: 10-15L", L120&lt;2000000,"Band 4: 15-20L", L120&gt;=2000000,"Band 5: 20L+")</f>
        <v>Band 3: 10-15L</v>
      </c>
      <c r="AB120" t="str" cm="1">
        <f t="array" ref="AB120">_xlfn.IFS(N120=1,"Poor", N120=2,"Below Average", N120=3,"Average", N120=4,"Good", N120=5,"Excellent")</f>
        <v>Poor</v>
      </c>
      <c r="AC120" s="14">
        <f t="shared" si="11"/>
        <v>4219.4688000000006</v>
      </c>
      <c r="AD120" t="str" cm="1">
        <f t="array" ref="AD120">_xlfn.IFS(K120&lt;2,"Junior (0-2 yrs)", K120&lt;5,"Mid-Level (2-5 yrs)", K120&lt;10,"Senior (5-10 yrs)", K120&gt;=10,"Expert (10+ yrs)")</f>
        <v>Expert (10+ yrs)</v>
      </c>
    </row>
    <row r="121" spans="1:30" x14ac:dyDescent="0.3">
      <c r="A121" s="1" t="s">
        <v>913</v>
      </c>
      <c r="B121" s="1" t="s">
        <v>914</v>
      </c>
      <c r="C121" s="1" t="s">
        <v>110</v>
      </c>
      <c r="D121" s="1" t="s">
        <v>244</v>
      </c>
      <c r="E121" s="1" t="s">
        <v>24</v>
      </c>
      <c r="F121" s="1" t="s">
        <v>93</v>
      </c>
      <c r="G121" s="1">
        <v>37</v>
      </c>
      <c r="H121" s="1" t="s">
        <v>103</v>
      </c>
      <c r="I121" s="1" t="s">
        <v>198</v>
      </c>
      <c r="J121" s="5">
        <v>41461</v>
      </c>
      <c r="K121" s="8">
        <v>9.6999999999999993</v>
      </c>
      <c r="L121" s="11">
        <v>2087779</v>
      </c>
      <c r="M121" s="12">
        <v>0.24309999999999998</v>
      </c>
      <c r="N121" s="7">
        <v>5</v>
      </c>
      <c r="O121" s="1" t="s">
        <v>41</v>
      </c>
      <c r="P121" s="1">
        <v>9729897436</v>
      </c>
      <c r="Q121" s="1" t="s">
        <v>2537</v>
      </c>
      <c r="R121" s="10">
        <v>21</v>
      </c>
      <c r="S121" s="10">
        <v>54</v>
      </c>
      <c r="T121" s="1" t="s">
        <v>227</v>
      </c>
      <c r="U121" t="str">
        <f t="shared" si="6"/>
        <v>Invalid</v>
      </c>
      <c r="V121">
        <f t="shared" si="7"/>
        <v>7</v>
      </c>
      <c r="W121" t="str">
        <f t="shared" si="8"/>
        <v>Jul</v>
      </c>
      <c r="X121">
        <f t="shared" si="9"/>
        <v>2013</v>
      </c>
      <c r="Y121">
        <f t="shared" ca="1" si="10"/>
        <v>12</v>
      </c>
      <c r="Z121" t="str" cm="1">
        <f t="array" ref="Z121">_xlfn.IFS(G121&lt;30,"20-29",G121&lt;40,"30-39",G121&lt;50,"40-49",G121&gt;=50,"50+")</f>
        <v>30-39</v>
      </c>
      <c r="AA121" t="str" cm="1">
        <f t="array" ref="AA121">_xlfn.IFS(L121&lt;500000,"Band 1: &lt;5L", L121&lt;1000000,"Band 2: 5-10L", L121&lt;1500000,"Band 3: 10-15L", L121&lt;2000000,"Band 4: 15-20L", L121&gt;=2000000,"Band 5: 20L+")</f>
        <v>Band 5: 20L+</v>
      </c>
      <c r="AB121" t="str" cm="1">
        <f t="array" ref="AB121">_xlfn.IFS(N121=1,"Poor", N121=2,"Below Average", N121=3,"Average", N121=4,"Good", N121=5,"Excellent")</f>
        <v>Excellent</v>
      </c>
      <c r="AC121" s="14">
        <f t="shared" si="11"/>
        <v>507539.07489999995</v>
      </c>
      <c r="AD121" t="str" cm="1">
        <f t="array" ref="AD121">_xlfn.IFS(K121&lt;2,"Junior (0-2 yrs)", K121&lt;5,"Mid-Level (2-5 yrs)", K121&lt;10,"Senior (5-10 yrs)", K121&gt;=10,"Expert (10+ yrs)")</f>
        <v>Senior (5-10 yrs)</v>
      </c>
    </row>
    <row r="122" spans="1:30" x14ac:dyDescent="0.3">
      <c r="A122" s="1" t="s">
        <v>927</v>
      </c>
      <c r="B122" s="1" t="s">
        <v>928</v>
      </c>
      <c r="C122" s="1" t="s">
        <v>197</v>
      </c>
      <c r="D122" s="1" t="s">
        <v>101</v>
      </c>
      <c r="E122" s="1" t="s">
        <v>36</v>
      </c>
      <c r="F122" s="1" t="s">
        <v>93</v>
      </c>
      <c r="G122" s="1">
        <v>41</v>
      </c>
      <c r="H122" s="1" t="s">
        <v>142</v>
      </c>
      <c r="I122" s="1" t="s">
        <v>39</v>
      </c>
      <c r="J122" s="5">
        <v>43969</v>
      </c>
      <c r="K122" s="8">
        <v>10.199999999999999</v>
      </c>
      <c r="L122" s="11">
        <v>669120</v>
      </c>
      <c r="M122" s="12">
        <v>7.85E-2</v>
      </c>
      <c r="N122" s="7">
        <v>5</v>
      </c>
      <c r="O122" s="1" t="s">
        <v>41</v>
      </c>
      <c r="P122" s="1">
        <v>7292074547</v>
      </c>
      <c r="Q122" s="1" t="s">
        <v>2660</v>
      </c>
      <c r="R122" s="10">
        <v>57</v>
      </c>
      <c r="S122" s="10">
        <v>27</v>
      </c>
      <c r="T122" s="1" t="s">
        <v>932</v>
      </c>
      <c r="U122" t="str">
        <f t="shared" si="6"/>
        <v>Valid</v>
      </c>
      <c r="V122">
        <f t="shared" si="7"/>
        <v>5</v>
      </c>
      <c r="W122" t="str">
        <f t="shared" si="8"/>
        <v>May</v>
      </c>
      <c r="X122">
        <f t="shared" si="9"/>
        <v>2020</v>
      </c>
      <c r="Y122">
        <f t="shared" ca="1" si="10"/>
        <v>5</v>
      </c>
      <c r="Z122" t="str" cm="1">
        <f t="array" ref="Z122">_xlfn.IFS(G122&lt;30,"20-29",G122&lt;40,"30-39",G122&lt;50,"40-49",G122&gt;=50,"50+")</f>
        <v>40-49</v>
      </c>
      <c r="AA122" t="str" cm="1">
        <f t="array" ref="AA122">_xlfn.IFS(L122&lt;500000,"Band 1: &lt;5L", L122&lt;1000000,"Band 2: 5-10L", L122&lt;1500000,"Band 3: 10-15L", L122&lt;2000000,"Band 4: 15-20L", L122&gt;=2000000,"Band 5: 20L+")</f>
        <v>Band 2: 5-10L</v>
      </c>
      <c r="AB122" t="str" cm="1">
        <f t="array" ref="AB122">_xlfn.IFS(N122=1,"Poor", N122=2,"Below Average", N122=3,"Average", N122=4,"Good", N122=5,"Excellent")</f>
        <v>Excellent</v>
      </c>
      <c r="AC122" s="14">
        <f t="shared" si="11"/>
        <v>52525.919999999998</v>
      </c>
      <c r="AD122" t="str" cm="1">
        <f t="array" ref="AD122">_xlfn.IFS(K122&lt;2,"Junior (0-2 yrs)", K122&lt;5,"Mid-Level (2-5 yrs)", K122&lt;10,"Senior (5-10 yrs)", K122&gt;=10,"Expert (10+ yrs)")</f>
        <v>Expert (10+ yrs)</v>
      </c>
    </row>
    <row r="123" spans="1:30" x14ac:dyDescent="0.3">
      <c r="A123" s="1" t="s">
        <v>933</v>
      </c>
      <c r="B123" s="1" t="s">
        <v>934</v>
      </c>
      <c r="C123" s="1" t="s">
        <v>69</v>
      </c>
      <c r="D123" s="1" t="s">
        <v>23</v>
      </c>
      <c r="E123" s="1" t="s">
        <v>155</v>
      </c>
      <c r="F123" s="1" t="s">
        <v>93</v>
      </c>
      <c r="G123" s="1">
        <v>58</v>
      </c>
      <c r="H123" s="1" t="s">
        <v>103</v>
      </c>
      <c r="I123" s="1" t="s">
        <v>39</v>
      </c>
      <c r="J123" s="5">
        <v>45369</v>
      </c>
      <c r="K123" s="8">
        <v>16.399999999999999</v>
      </c>
      <c r="L123" s="11">
        <v>1079107</v>
      </c>
      <c r="M123" s="12">
        <v>0.12119999999999999</v>
      </c>
      <c r="N123" s="7">
        <v>5</v>
      </c>
      <c r="O123" s="1" t="s">
        <v>41</v>
      </c>
      <c r="P123" s="1">
        <v>8937034431</v>
      </c>
      <c r="Q123" s="1" t="s">
        <v>2661</v>
      </c>
      <c r="R123" s="10">
        <v>49</v>
      </c>
      <c r="S123" s="10">
        <v>64</v>
      </c>
      <c r="T123" s="1" t="s">
        <v>938</v>
      </c>
      <c r="U123" t="str">
        <f t="shared" si="6"/>
        <v>Invalid</v>
      </c>
      <c r="V123">
        <f t="shared" si="7"/>
        <v>3</v>
      </c>
      <c r="W123" t="str">
        <f t="shared" si="8"/>
        <v>Mar</v>
      </c>
      <c r="X123">
        <f t="shared" si="9"/>
        <v>2024</v>
      </c>
      <c r="Y123">
        <f t="shared" ca="1" si="10"/>
        <v>2</v>
      </c>
      <c r="Z123" t="str" cm="1">
        <f t="array" ref="Z123">_xlfn.IFS(G123&lt;30,"20-29",G123&lt;40,"30-39",G123&lt;50,"40-49",G123&gt;=50,"50+")</f>
        <v>50+</v>
      </c>
      <c r="AA123" t="str" cm="1">
        <f t="array" ref="AA123">_xlfn.IFS(L123&lt;500000,"Band 1: &lt;5L", L123&lt;1000000,"Band 2: 5-10L", L123&lt;1500000,"Band 3: 10-15L", L123&lt;2000000,"Band 4: 15-20L", L123&gt;=2000000,"Band 5: 20L+")</f>
        <v>Band 3: 10-15L</v>
      </c>
      <c r="AB123" t="str" cm="1">
        <f t="array" ref="AB123">_xlfn.IFS(N123=1,"Poor", N123=2,"Below Average", N123=3,"Average", N123=4,"Good", N123=5,"Excellent")</f>
        <v>Excellent</v>
      </c>
      <c r="AC123" s="14">
        <f t="shared" si="11"/>
        <v>130787.76839999999</v>
      </c>
      <c r="AD123" t="str" cm="1">
        <f t="array" ref="AD123">_xlfn.IFS(K123&lt;2,"Junior (0-2 yrs)", K123&lt;5,"Mid-Level (2-5 yrs)", K123&lt;10,"Senior (5-10 yrs)", K123&gt;=10,"Expert (10+ yrs)")</f>
        <v>Expert (10+ yrs)</v>
      </c>
    </row>
    <row r="124" spans="1:30" x14ac:dyDescent="0.3">
      <c r="A124" s="1" t="s">
        <v>944</v>
      </c>
      <c r="B124" s="1" t="s">
        <v>945</v>
      </c>
      <c r="C124" s="1" t="s">
        <v>58</v>
      </c>
      <c r="D124" s="1" t="s">
        <v>244</v>
      </c>
      <c r="E124" s="1" t="s">
        <v>36</v>
      </c>
      <c r="F124" s="1" t="s">
        <v>37</v>
      </c>
      <c r="G124" s="1">
        <v>37</v>
      </c>
      <c r="H124" s="1" t="s">
        <v>204</v>
      </c>
      <c r="I124" s="1" t="s">
        <v>39</v>
      </c>
      <c r="J124" s="5">
        <v>42942</v>
      </c>
      <c r="K124" s="8">
        <v>19</v>
      </c>
      <c r="L124" s="11">
        <v>1680868</v>
      </c>
      <c r="M124" s="12">
        <v>0.12990000000000002</v>
      </c>
      <c r="N124" s="7">
        <v>5</v>
      </c>
      <c r="O124" s="1" t="s">
        <v>41</v>
      </c>
      <c r="P124" s="1">
        <v>8023745012</v>
      </c>
      <c r="Q124" s="1" t="s">
        <v>2662</v>
      </c>
      <c r="R124" s="10">
        <v>9</v>
      </c>
      <c r="S124" s="10">
        <v>79</v>
      </c>
      <c r="T124" s="1" t="s">
        <v>294</v>
      </c>
      <c r="U124" t="str">
        <f t="shared" si="6"/>
        <v>Valid</v>
      </c>
      <c r="V124">
        <f t="shared" si="7"/>
        <v>7</v>
      </c>
      <c r="W124" t="str">
        <f t="shared" si="8"/>
        <v>Jul</v>
      </c>
      <c r="X124">
        <f t="shared" si="9"/>
        <v>2017</v>
      </c>
      <c r="Y124">
        <f t="shared" ca="1" si="10"/>
        <v>8</v>
      </c>
      <c r="Z124" t="str" cm="1">
        <f t="array" ref="Z124">_xlfn.IFS(G124&lt;30,"20-29",G124&lt;40,"30-39",G124&lt;50,"40-49",G124&gt;=50,"50+")</f>
        <v>30-39</v>
      </c>
      <c r="AA124" t="str" cm="1">
        <f t="array" ref="AA124">_xlfn.IFS(L124&lt;500000,"Band 1: &lt;5L", L124&lt;1000000,"Band 2: 5-10L", L124&lt;1500000,"Band 3: 10-15L", L124&lt;2000000,"Band 4: 15-20L", L124&gt;=2000000,"Band 5: 20L+")</f>
        <v>Band 4: 15-20L</v>
      </c>
      <c r="AB124" t="str" cm="1">
        <f t="array" ref="AB124">_xlfn.IFS(N124=1,"Poor", N124=2,"Below Average", N124=3,"Average", N124=4,"Good", N124=5,"Excellent")</f>
        <v>Excellent</v>
      </c>
      <c r="AC124" s="14">
        <f t="shared" si="11"/>
        <v>218344.75320000004</v>
      </c>
      <c r="AD124" t="str" cm="1">
        <f t="array" ref="AD124">_xlfn.IFS(K124&lt;2,"Junior (0-2 yrs)", K124&lt;5,"Mid-Level (2-5 yrs)", K124&lt;10,"Senior (5-10 yrs)", K124&gt;=10,"Expert (10+ yrs)")</f>
        <v>Expert (10+ yrs)</v>
      </c>
    </row>
    <row r="125" spans="1:30" x14ac:dyDescent="0.3">
      <c r="A125" s="1" t="s">
        <v>958</v>
      </c>
      <c r="B125" s="1" t="s">
        <v>959</v>
      </c>
      <c r="C125" s="1" t="s">
        <v>197</v>
      </c>
      <c r="D125" s="1" t="s">
        <v>83</v>
      </c>
      <c r="E125" s="1" t="s">
        <v>189</v>
      </c>
      <c r="F125" s="1" t="s">
        <v>93</v>
      </c>
      <c r="G125" s="1">
        <v>46</v>
      </c>
      <c r="H125" s="1" t="s">
        <v>103</v>
      </c>
      <c r="I125" s="1" t="s">
        <v>39</v>
      </c>
      <c r="J125" s="5">
        <v>42375</v>
      </c>
      <c r="K125" s="8">
        <v>19.3</v>
      </c>
      <c r="L125" s="11">
        <v>630363</v>
      </c>
      <c r="M125" s="12">
        <v>0.2487</v>
      </c>
      <c r="N125" s="7">
        <v>5</v>
      </c>
      <c r="O125" s="1" t="s">
        <v>41</v>
      </c>
      <c r="P125" s="1">
        <v>8861590344</v>
      </c>
      <c r="Q125" s="1" t="s">
        <v>2663</v>
      </c>
      <c r="R125" s="10">
        <v>69</v>
      </c>
      <c r="S125" s="10">
        <v>31</v>
      </c>
      <c r="T125" s="1" t="s">
        <v>287</v>
      </c>
      <c r="U125" t="str">
        <f t="shared" si="6"/>
        <v>Invalid</v>
      </c>
      <c r="V125">
        <f t="shared" si="7"/>
        <v>1</v>
      </c>
      <c r="W125" t="str">
        <f t="shared" si="8"/>
        <v>Jan</v>
      </c>
      <c r="X125">
        <f t="shared" si="9"/>
        <v>2016</v>
      </c>
      <c r="Y125">
        <f t="shared" ca="1" si="10"/>
        <v>10</v>
      </c>
      <c r="Z125" t="str" cm="1">
        <f t="array" ref="Z125">_xlfn.IFS(G125&lt;30,"20-29",G125&lt;40,"30-39",G125&lt;50,"40-49",G125&gt;=50,"50+")</f>
        <v>40-49</v>
      </c>
      <c r="AA125" t="str" cm="1">
        <f t="array" ref="AA125">_xlfn.IFS(L125&lt;500000,"Band 1: &lt;5L", L125&lt;1000000,"Band 2: 5-10L", L125&lt;1500000,"Band 3: 10-15L", L125&lt;2000000,"Band 4: 15-20L", L125&gt;=2000000,"Band 5: 20L+")</f>
        <v>Band 2: 5-10L</v>
      </c>
      <c r="AB125" t="str" cm="1">
        <f t="array" ref="AB125">_xlfn.IFS(N125=1,"Poor", N125=2,"Below Average", N125=3,"Average", N125=4,"Good", N125=5,"Excellent")</f>
        <v>Excellent</v>
      </c>
      <c r="AC125" s="14">
        <f t="shared" si="11"/>
        <v>156771.2781</v>
      </c>
      <c r="AD125" t="str" cm="1">
        <f t="array" ref="AD125">_xlfn.IFS(K125&lt;2,"Junior (0-2 yrs)", K125&lt;5,"Mid-Level (2-5 yrs)", K125&lt;10,"Senior (5-10 yrs)", K125&gt;=10,"Expert (10+ yrs)")</f>
        <v>Expert (10+ yrs)</v>
      </c>
    </row>
    <row r="126" spans="1:30" x14ac:dyDescent="0.3">
      <c r="A126" s="1" t="s">
        <v>381</v>
      </c>
      <c r="B126" s="1" t="s">
        <v>978</v>
      </c>
      <c r="C126" s="1" t="s">
        <v>124</v>
      </c>
      <c r="D126" s="1" t="s">
        <v>244</v>
      </c>
      <c r="E126" s="1" t="s">
        <v>175</v>
      </c>
      <c r="F126" s="1" t="s">
        <v>37</v>
      </c>
      <c r="G126" s="1">
        <v>46</v>
      </c>
      <c r="H126" s="1" t="s">
        <v>38</v>
      </c>
      <c r="I126" s="1" t="s">
        <v>39</v>
      </c>
      <c r="J126" s="5">
        <v>40355</v>
      </c>
      <c r="K126" s="8">
        <v>29.4</v>
      </c>
      <c r="L126" s="11">
        <v>482596</v>
      </c>
      <c r="M126" s="12">
        <v>8.8100000000000012E-2</v>
      </c>
      <c r="N126" s="7">
        <v>4</v>
      </c>
      <c r="O126" s="1" t="s">
        <v>41</v>
      </c>
      <c r="P126" s="1">
        <v>9499255738</v>
      </c>
      <c r="Q126" s="1" t="s">
        <v>2664</v>
      </c>
      <c r="R126" s="10">
        <v>22</v>
      </c>
      <c r="S126" s="10">
        <v>87</v>
      </c>
      <c r="T126" s="1" t="s">
        <v>884</v>
      </c>
      <c r="U126" t="str">
        <f t="shared" si="6"/>
        <v>Invalid</v>
      </c>
      <c r="V126">
        <f t="shared" si="7"/>
        <v>6</v>
      </c>
      <c r="W126" t="str">
        <f t="shared" si="8"/>
        <v>Jun</v>
      </c>
      <c r="X126">
        <f t="shared" si="9"/>
        <v>2010</v>
      </c>
      <c r="Y126">
        <f t="shared" ca="1" si="10"/>
        <v>15</v>
      </c>
      <c r="Z126" t="str" cm="1">
        <f t="array" ref="Z126">_xlfn.IFS(G126&lt;30,"20-29",G126&lt;40,"30-39",G126&lt;50,"40-49",G126&gt;=50,"50+")</f>
        <v>40-49</v>
      </c>
      <c r="AA126" t="str" cm="1">
        <f t="array" ref="AA126">_xlfn.IFS(L126&lt;500000,"Band 1: &lt;5L", L126&lt;1000000,"Band 2: 5-10L", L126&lt;1500000,"Band 3: 10-15L", L126&lt;2000000,"Band 4: 15-20L", L126&gt;=2000000,"Band 5: 20L+")</f>
        <v>Band 1: &lt;5L</v>
      </c>
      <c r="AB126" t="str" cm="1">
        <f t="array" ref="AB126">_xlfn.IFS(N126=1,"Poor", N126=2,"Below Average", N126=3,"Average", N126=4,"Good", N126=5,"Excellent")</f>
        <v>Good</v>
      </c>
      <c r="AC126" s="14">
        <f t="shared" si="11"/>
        <v>42516.707600000009</v>
      </c>
      <c r="AD126" t="str" cm="1">
        <f t="array" ref="AD126">_xlfn.IFS(K126&lt;2,"Junior (0-2 yrs)", K126&lt;5,"Mid-Level (2-5 yrs)", K126&lt;10,"Senior (5-10 yrs)", K126&gt;=10,"Expert (10+ yrs)")</f>
        <v>Expert (10+ yrs)</v>
      </c>
    </row>
    <row r="127" spans="1:30" x14ac:dyDescent="0.3">
      <c r="A127" s="1" t="s">
        <v>986</v>
      </c>
      <c r="B127" s="1" t="s">
        <v>987</v>
      </c>
      <c r="C127" s="1" t="s">
        <v>58</v>
      </c>
      <c r="D127" s="1" t="s">
        <v>101</v>
      </c>
      <c r="E127" s="1" t="s">
        <v>189</v>
      </c>
      <c r="F127" s="1" t="s">
        <v>37</v>
      </c>
      <c r="G127" s="1">
        <v>56</v>
      </c>
      <c r="H127" s="1" t="s">
        <v>103</v>
      </c>
      <c r="I127" s="1" t="s">
        <v>74</v>
      </c>
      <c r="J127" s="5">
        <v>43877</v>
      </c>
      <c r="K127" s="8">
        <v>10.3</v>
      </c>
      <c r="L127" s="11">
        <v>2214432</v>
      </c>
      <c r="M127" s="12">
        <v>5.57E-2</v>
      </c>
      <c r="N127" s="7">
        <v>3</v>
      </c>
      <c r="O127" s="1" t="s">
        <v>41</v>
      </c>
      <c r="P127" s="1">
        <v>9456281720</v>
      </c>
      <c r="Q127" s="1" t="s">
        <v>2538</v>
      </c>
      <c r="R127" s="10">
        <v>4</v>
      </c>
      <c r="S127" s="10">
        <v>85</v>
      </c>
      <c r="T127" s="1" t="s">
        <v>89</v>
      </c>
      <c r="U127" t="str">
        <f t="shared" si="6"/>
        <v>Invalid</v>
      </c>
      <c r="V127">
        <f t="shared" si="7"/>
        <v>2</v>
      </c>
      <c r="W127" t="str">
        <f t="shared" si="8"/>
        <v>Feb</v>
      </c>
      <c r="X127">
        <f t="shared" si="9"/>
        <v>2020</v>
      </c>
      <c r="Y127">
        <f t="shared" ca="1" si="10"/>
        <v>6</v>
      </c>
      <c r="Z127" t="str" cm="1">
        <f t="array" ref="Z127">_xlfn.IFS(G127&lt;30,"20-29",G127&lt;40,"30-39",G127&lt;50,"40-49",G127&gt;=50,"50+")</f>
        <v>50+</v>
      </c>
      <c r="AA127" t="str" cm="1">
        <f t="array" ref="AA127">_xlfn.IFS(L127&lt;500000,"Band 1: &lt;5L", L127&lt;1000000,"Band 2: 5-10L", L127&lt;1500000,"Band 3: 10-15L", L127&lt;2000000,"Band 4: 15-20L", L127&gt;=2000000,"Band 5: 20L+")</f>
        <v>Band 5: 20L+</v>
      </c>
      <c r="AB127" t="str" cm="1">
        <f t="array" ref="AB127">_xlfn.IFS(N127=1,"Poor", N127=2,"Below Average", N127=3,"Average", N127=4,"Good", N127=5,"Excellent")</f>
        <v>Average</v>
      </c>
      <c r="AC127" s="14">
        <f t="shared" si="11"/>
        <v>123343.8624</v>
      </c>
      <c r="AD127" t="str" cm="1">
        <f t="array" ref="AD127">_xlfn.IFS(K127&lt;2,"Junior (0-2 yrs)", K127&lt;5,"Mid-Level (2-5 yrs)", K127&lt;10,"Senior (5-10 yrs)", K127&gt;=10,"Expert (10+ yrs)")</f>
        <v>Expert (10+ yrs)</v>
      </c>
    </row>
    <row r="128" spans="1:30" x14ac:dyDescent="0.3">
      <c r="A128" s="1" t="s">
        <v>991</v>
      </c>
      <c r="B128" s="1" t="s">
        <v>992</v>
      </c>
      <c r="C128" s="1" t="s">
        <v>69</v>
      </c>
      <c r="D128" s="1" t="s">
        <v>244</v>
      </c>
      <c r="E128" s="1" t="s">
        <v>189</v>
      </c>
      <c r="F128" s="1" t="s">
        <v>93</v>
      </c>
      <c r="G128" s="1">
        <v>55</v>
      </c>
      <c r="H128" s="1" t="s">
        <v>103</v>
      </c>
      <c r="I128" s="1" t="s">
        <v>39</v>
      </c>
      <c r="J128" s="5">
        <v>42373</v>
      </c>
      <c r="K128" s="8">
        <v>1.2</v>
      </c>
      <c r="L128" s="11">
        <v>1156869</v>
      </c>
      <c r="M128" s="12">
        <v>0.21479999999999999</v>
      </c>
      <c r="N128" s="7">
        <v>4</v>
      </c>
      <c r="O128" s="1" t="s">
        <v>41</v>
      </c>
      <c r="P128" s="1">
        <v>9348141293</v>
      </c>
      <c r="Q128" s="1" t="s">
        <v>2665</v>
      </c>
      <c r="R128" s="10">
        <v>55</v>
      </c>
      <c r="S128" s="10">
        <v>2</v>
      </c>
      <c r="T128" s="1" t="s">
        <v>932</v>
      </c>
      <c r="U128" t="str">
        <f t="shared" si="6"/>
        <v>Valid</v>
      </c>
      <c r="V128">
        <f t="shared" si="7"/>
        <v>1</v>
      </c>
      <c r="W128" t="str">
        <f t="shared" si="8"/>
        <v>Jan</v>
      </c>
      <c r="X128">
        <f t="shared" si="9"/>
        <v>2016</v>
      </c>
      <c r="Y128">
        <f t="shared" ca="1" si="10"/>
        <v>10</v>
      </c>
      <c r="Z128" t="str" cm="1">
        <f t="array" ref="Z128">_xlfn.IFS(G128&lt;30,"20-29",G128&lt;40,"30-39",G128&lt;50,"40-49",G128&gt;=50,"50+")</f>
        <v>50+</v>
      </c>
      <c r="AA128" t="str" cm="1">
        <f t="array" ref="AA128">_xlfn.IFS(L128&lt;500000,"Band 1: &lt;5L", L128&lt;1000000,"Band 2: 5-10L", L128&lt;1500000,"Band 3: 10-15L", L128&lt;2000000,"Band 4: 15-20L", L128&gt;=2000000,"Band 5: 20L+")</f>
        <v>Band 3: 10-15L</v>
      </c>
      <c r="AB128" t="str" cm="1">
        <f t="array" ref="AB128">_xlfn.IFS(N128=1,"Poor", N128=2,"Below Average", N128=3,"Average", N128=4,"Good", N128=5,"Excellent")</f>
        <v>Good</v>
      </c>
      <c r="AC128" s="14">
        <f t="shared" si="11"/>
        <v>248495.46119999999</v>
      </c>
      <c r="AD128" t="str" cm="1">
        <f t="array" ref="AD128">_xlfn.IFS(K128&lt;2,"Junior (0-2 yrs)", K128&lt;5,"Mid-Level (2-5 yrs)", K128&lt;10,"Senior (5-10 yrs)", K128&gt;=10,"Expert (10+ yrs)")</f>
        <v>Junior (0-2 yrs)</v>
      </c>
    </row>
    <row r="129" spans="1:30" x14ac:dyDescent="0.3">
      <c r="A129" s="1" t="s">
        <v>235</v>
      </c>
      <c r="B129" s="1" t="s">
        <v>996</v>
      </c>
      <c r="C129" s="1" t="s">
        <v>69</v>
      </c>
      <c r="D129" s="1" t="s">
        <v>244</v>
      </c>
      <c r="E129" s="1" t="s">
        <v>189</v>
      </c>
      <c r="F129" s="1" t="s">
        <v>93</v>
      </c>
      <c r="G129" s="1">
        <v>40</v>
      </c>
      <c r="H129" s="1" t="s">
        <v>218</v>
      </c>
      <c r="I129" s="1" t="s">
        <v>27</v>
      </c>
      <c r="J129" s="5">
        <v>43930</v>
      </c>
      <c r="K129" s="8">
        <v>21.2</v>
      </c>
      <c r="L129" s="11">
        <v>1508399</v>
      </c>
      <c r="M129" s="12">
        <v>0.2271</v>
      </c>
      <c r="N129" s="7">
        <v>5</v>
      </c>
      <c r="O129" s="1" t="s">
        <v>41</v>
      </c>
      <c r="P129" s="1">
        <v>8825957977</v>
      </c>
      <c r="Q129" s="1" t="s">
        <v>2666</v>
      </c>
      <c r="R129" s="10">
        <v>9</v>
      </c>
      <c r="S129" s="10">
        <v>101</v>
      </c>
      <c r="T129" s="1" t="s">
        <v>432</v>
      </c>
      <c r="U129" t="str">
        <f t="shared" si="6"/>
        <v>Valid</v>
      </c>
      <c r="V129">
        <f t="shared" si="7"/>
        <v>4</v>
      </c>
      <c r="W129" t="str">
        <f t="shared" si="8"/>
        <v>Apr</v>
      </c>
      <c r="X129">
        <f t="shared" si="9"/>
        <v>2020</v>
      </c>
      <c r="Y129">
        <f t="shared" ca="1" si="10"/>
        <v>5</v>
      </c>
      <c r="Z129" t="str" cm="1">
        <f t="array" ref="Z129">_xlfn.IFS(G129&lt;30,"20-29",G129&lt;40,"30-39",G129&lt;50,"40-49",G129&gt;=50,"50+")</f>
        <v>40-49</v>
      </c>
      <c r="AA129" t="str" cm="1">
        <f t="array" ref="AA129">_xlfn.IFS(L129&lt;500000,"Band 1: &lt;5L", L129&lt;1000000,"Band 2: 5-10L", L129&lt;1500000,"Band 3: 10-15L", L129&lt;2000000,"Band 4: 15-20L", L129&gt;=2000000,"Band 5: 20L+")</f>
        <v>Band 4: 15-20L</v>
      </c>
      <c r="AB129" t="str" cm="1">
        <f t="array" ref="AB129">_xlfn.IFS(N129=1,"Poor", N129=2,"Below Average", N129=3,"Average", N129=4,"Good", N129=5,"Excellent")</f>
        <v>Excellent</v>
      </c>
      <c r="AC129" s="14">
        <f t="shared" si="11"/>
        <v>342557.4129</v>
      </c>
      <c r="AD129" t="str" cm="1">
        <f t="array" ref="AD129">_xlfn.IFS(K129&lt;2,"Junior (0-2 yrs)", K129&lt;5,"Mid-Level (2-5 yrs)", K129&lt;10,"Senior (5-10 yrs)", K129&gt;=10,"Expert (10+ yrs)")</f>
        <v>Expert (10+ yrs)</v>
      </c>
    </row>
    <row r="130" spans="1:30" x14ac:dyDescent="0.3">
      <c r="A130" s="1" t="s">
        <v>1003</v>
      </c>
      <c r="B130" s="1" t="s">
        <v>1004</v>
      </c>
      <c r="C130" s="1" t="s">
        <v>197</v>
      </c>
      <c r="D130" s="1" t="s">
        <v>244</v>
      </c>
      <c r="E130" s="1" t="s">
        <v>48</v>
      </c>
      <c r="F130" s="1" t="s">
        <v>37</v>
      </c>
      <c r="G130" s="1">
        <v>24</v>
      </c>
      <c r="H130" s="1" t="s">
        <v>50</v>
      </c>
      <c r="I130" s="1" t="s">
        <v>51</v>
      </c>
      <c r="J130" s="5">
        <v>41746</v>
      </c>
      <c r="K130" s="8">
        <v>7.5</v>
      </c>
      <c r="L130" s="11">
        <v>664056</v>
      </c>
      <c r="M130" s="12">
        <v>0.19980000000000001</v>
      </c>
      <c r="N130" s="7">
        <v>2</v>
      </c>
      <c r="O130" s="1" t="s">
        <v>76</v>
      </c>
      <c r="P130" s="1">
        <v>7868006057</v>
      </c>
      <c r="Q130" s="1" t="s">
        <v>2667</v>
      </c>
      <c r="R130" s="10">
        <v>19</v>
      </c>
      <c r="S130" s="10">
        <v>118</v>
      </c>
      <c r="T130" s="1" t="s">
        <v>510</v>
      </c>
      <c r="U130" t="str">
        <f t="shared" ref="U130:U193" si="12">IF(AND(ISNUMBER(FIND("@",Q130)),ISNUMBER(FIND(".",Q130))),
"Valid","Invalid")</f>
        <v>Invalid</v>
      </c>
      <c r="V130">
        <f t="shared" si="7"/>
        <v>4</v>
      </c>
      <c r="W130" t="str">
        <f t="shared" si="8"/>
        <v>Apr</v>
      </c>
      <c r="X130">
        <f t="shared" si="9"/>
        <v>2014</v>
      </c>
      <c r="Y130">
        <f t="shared" ca="1" si="10"/>
        <v>11</v>
      </c>
      <c r="Z130" t="str" cm="1">
        <f t="array" ref="Z130">_xlfn.IFS(G130&lt;30,"20-29",G130&lt;40,"30-39",G130&lt;50,"40-49",G130&gt;=50,"50+")</f>
        <v>20-29</v>
      </c>
      <c r="AA130" t="str" cm="1">
        <f t="array" ref="AA130">_xlfn.IFS(L130&lt;500000,"Band 1: &lt;5L", L130&lt;1000000,"Band 2: 5-10L", L130&lt;1500000,"Band 3: 10-15L", L130&lt;2000000,"Band 4: 15-20L", L130&gt;=2000000,"Band 5: 20L+")</f>
        <v>Band 2: 5-10L</v>
      </c>
      <c r="AB130" t="str" cm="1">
        <f t="array" ref="AB130">_xlfn.IFS(N130=1,"Poor", N130=2,"Below Average", N130=3,"Average", N130=4,"Good", N130=5,"Excellent")</f>
        <v>Below Average</v>
      </c>
      <c r="AC130" s="14">
        <f t="shared" si="11"/>
        <v>132678.38880000002</v>
      </c>
      <c r="AD130" t="str" cm="1">
        <f t="array" ref="AD130">_xlfn.IFS(K130&lt;2,"Junior (0-2 yrs)", K130&lt;5,"Mid-Level (2-5 yrs)", K130&lt;10,"Senior (5-10 yrs)", K130&gt;=10,"Expert (10+ yrs)")</f>
        <v>Senior (5-10 yrs)</v>
      </c>
    </row>
    <row r="131" spans="1:30" x14ac:dyDescent="0.3">
      <c r="A131" s="1" t="s">
        <v>1008</v>
      </c>
      <c r="B131" s="1" t="s">
        <v>2011</v>
      </c>
      <c r="C131" s="1" t="s">
        <v>132</v>
      </c>
      <c r="D131" s="1" t="s">
        <v>231</v>
      </c>
      <c r="E131" s="1" t="s">
        <v>175</v>
      </c>
      <c r="F131" s="1" t="s">
        <v>93</v>
      </c>
      <c r="G131" s="1">
        <v>54</v>
      </c>
      <c r="H131" s="1" t="s">
        <v>26</v>
      </c>
      <c r="I131" s="1" t="s">
        <v>39</v>
      </c>
      <c r="J131" s="5">
        <v>43836</v>
      </c>
      <c r="K131" s="8">
        <v>20.399999999999999</v>
      </c>
      <c r="L131" s="11">
        <v>1271698</v>
      </c>
      <c r="M131" s="12">
        <v>3.8E-3</v>
      </c>
      <c r="N131" s="7">
        <v>5</v>
      </c>
      <c r="O131" s="1" t="s">
        <v>41</v>
      </c>
      <c r="P131" s="1">
        <v>9876176605</v>
      </c>
      <c r="Q131" s="1" t="s">
        <v>2668</v>
      </c>
      <c r="R131" s="10">
        <v>11</v>
      </c>
      <c r="S131" s="10">
        <v>92</v>
      </c>
      <c r="T131" s="1" t="s">
        <v>778</v>
      </c>
      <c r="U131" t="str">
        <f t="shared" si="12"/>
        <v>Valid</v>
      </c>
      <c r="V131">
        <f t="shared" ref="V131:V194" si="13">MONTH(J131)</f>
        <v>1</v>
      </c>
      <c r="W131" t="str">
        <f t="shared" ref="W131:W194" si="14">TEXT(J131, "MMM")</f>
        <v>Jan</v>
      </c>
      <c r="X131">
        <f t="shared" ref="X131:X194" si="15">YEAR(J131)</f>
        <v>2020</v>
      </c>
      <c r="Y131">
        <f t="shared" ref="Y131:Y194" ca="1" si="16">DATEDIF(J131,TODAY(), "Y")</f>
        <v>6</v>
      </c>
      <c r="Z131" t="str" cm="1">
        <f t="array" ref="Z131">_xlfn.IFS(G131&lt;30,"20-29",G131&lt;40,"30-39",G131&lt;50,"40-49",G131&gt;=50,"50+")</f>
        <v>50+</v>
      </c>
      <c r="AA131" t="str" cm="1">
        <f t="array" ref="AA131">_xlfn.IFS(L131&lt;500000,"Band 1: &lt;5L", L131&lt;1000000,"Band 2: 5-10L", L131&lt;1500000,"Band 3: 10-15L", L131&lt;2000000,"Band 4: 15-20L", L131&gt;=2000000,"Band 5: 20L+")</f>
        <v>Band 3: 10-15L</v>
      </c>
      <c r="AB131" t="str" cm="1">
        <f t="array" ref="AB131">_xlfn.IFS(N131=1,"Poor", N131=2,"Below Average", N131=3,"Average", N131=4,"Good", N131=5,"Excellent")</f>
        <v>Excellent</v>
      </c>
      <c r="AC131" s="14">
        <f t="shared" ref="AC131:AC194" si="17">L131*M131</f>
        <v>4832.4524000000001</v>
      </c>
      <c r="AD131" t="str" cm="1">
        <f t="array" ref="AD131">_xlfn.IFS(K131&lt;2,"Junior (0-2 yrs)", K131&lt;5,"Mid-Level (2-5 yrs)", K131&lt;10,"Senior (5-10 yrs)", K131&gt;=10,"Expert (10+ yrs)")</f>
        <v>Expert (10+ yrs)</v>
      </c>
    </row>
    <row r="132" spans="1:30" x14ac:dyDescent="0.3">
      <c r="A132" s="1" t="s">
        <v>1016</v>
      </c>
      <c r="B132" s="1" t="s">
        <v>1017</v>
      </c>
      <c r="C132" s="1" t="s">
        <v>197</v>
      </c>
      <c r="D132" s="1" t="s">
        <v>101</v>
      </c>
      <c r="E132" s="1" t="s">
        <v>71</v>
      </c>
      <c r="F132" s="1" t="s">
        <v>37</v>
      </c>
      <c r="G132" s="1">
        <v>23</v>
      </c>
      <c r="H132" s="1" t="s">
        <v>38</v>
      </c>
      <c r="I132" s="1" t="s">
        <v>51</v>
      </c>
      <c r="J132" s="5">
        <v>43800</v>
      </c>
      <c r="K132" s="8">
        <v>19.399999999999999</v>
      </c>
      <c r="L132" s="11">
        <v>2182871</v>
      </c>
      <c r="M132" s="12">
        <v>0.15490000000000001</v>
      </c>
      <c r="N132" s="7">
        <v>5</v>
      </c>
      <c r="O132" s="1" t="s">
        <v>41</v>
      </c>
      <c r="P132" s="1">
        <v>8326494754</v>
      </c>
      <c r="Q132" s="1" t="s">
        <v>2669</v>
      </c>
      <c r="R132" s="10">
        <v>47</v>
      </c>
      <c r="S132" s="10">
        <v>25</v>
      </c>
      <c r="T132" s="1" t="s">
        <v>904</v>
      </c>
      <c r="U132" t="str">
        <f t="shared" si="12"/>
        <v>Invalid</v>
      </c>
      <c r="V132">
        <f t="shared" si="13"/>
        <v>12</v>
      </c>
      <c r="W132" t="str">
        <f t="shared" si="14"/>
        <v>Dec</v>
      </c>
      <c r="X132">
        <f t="shared" si="15"/>
        <v>2019</v>
      </c>
      <c r="Y132">
        <f t="shared" ca="1" si="16"/>
        <v>6</v>
      </c>
      <c r="Z132" t="str" cm="1">
        <f t="array" ref="Z132">_xlfn.IFS(G132&lt;30,"20-29",G132&lt;40,"30-39",G132&lt;50,"40-49",G132&gt;=50,"50+")</f>
        <v>20-29</v>
      </c>
      <c r="AA132" t="str" cm="1">
        <f t="array" ref="AA132">_xlfn.IFS(L132&lt;500000,"Band 1: &lt;5L", L132&lt;1000000,"Band 2: 5-10L", L132&lt;1500000,"Band 3: 10-15L", L132&lt;2000000,"Band 4: 15-20L", L132&gt;=2000000,"Band 5: 20L+")</f>
        <v>Band 5: 20L+</v>
      </c>
      <c r="AB132" t="str" cm="1">
        <f t="array" ref="AB132">_xlfn.IFS(N132=1,"Poor", N132=2,"Below Average", N132=3,"Average", N132=4,"Good", N132=5,"Excellent")</f>
        <v>Excellent</v>
      </c>
      <c r="AC132" s="14">
        <f t="shared" si="17"/>
        <v>338126.71790000005</v>
      </c>
      <c r="AD132" t="str" cm="1">
        <f t="array" ref="AD132">_xlfn.IFS(K132&lt;2,"Junior (0-2 yrs)", K132&lt;5,"Mid-Level (2-5 yrs)", K132&lt;10,"Senior (5-10 yrs)", K132&gt;=10,"Expert (10+ yrs)")</f>
        <v>Expert (10+ yrs)</v>
      </c>
    </row>
    <row r="133" spans="1:30" x14ac:dyDescent="0.3">
      <c r="A133" s="1" t="s">
        <v>1021</v>
      </c>
      <c r="B133" s="1" t="s">
        <v>1022</v>
      </c>
      <c r="C133" s="1" t="s">
        <v>58</v>
      </c>
      <c r="D133" s="1" t="s">
        <v>23</v>
      </c>
      <c r="E133" s="1" t="s">
        <v>60</v>
      </c>
      <c r="F133" s="1" t="s">
        <v>93</v>
      </c>
      <c r="G133" s="1">
        <v>33</v>
      </c>
      <c r="H133" s="1" t="s">
        <v>204</v>
      </c>
      <c r="I133" s="1" t="s">
        <v>39</v>
      </c>
      <c r="J133" s="5">
        <v>45186</v>
      </c>
      <c r="K133" s="8">
        <v>11.1</v>
      </c>
      <c r="L133" s="11">
        <v>1414111</v>
      </c>
      <c r="M133" s="12">
        <v>8.3400000000000002E-2</v>
      </c>
      <c r="N133" s="7">
        <v>2</v>
      </c>
      <c r="O133" s="1" t="s">
        <v>41</v>
      </c>
      <c r="P133" s="1">
        <v>7422663925</v>
      </c>
      <c r="Q133" s="1" t="s">
        <v>2670</v>
      </c>
      <c r="R133" s="10">
        <v>32</v>
      </c>
      <c r="S133" s="10">
        <v>104</v>
      </c>
      <c r="T133" s="1" t="s">
        <v>213</v>
      </c>
      <c r="U133" t="str">
        <f t="shared" si="12"/>
        <v>Valid</v>
      </c>
      <c r="V133">
        <f t="shared" si="13"/>
        <v>9</v>
      </c>
      <c r="W133" t="str">
        <f t="shared" si="14"/>
        <v>Sep</v>
      </c>
      <c r="X133">
        <f t="shared" si="15"/>
        <v>2023</v>
      </c>
      <c r="Y133">
        <f t="shared" ca="1" si="16"/>
        <v>2</v>
      </c>
      <c r="Z133" t="str" cm="1">
        <f t="array" ref="Z133">_xlfn.IFS(G133&lt;30,"20-29",G133&lt;40,"30-39",G133&lt;50,"40-49",G133&gt;=50,"50+")</f>
        <v>30-39</v>
      </c>
      <c r="AA133" t="str" cm="1">
        <f t="array" ref="AA133">_xlfn.IFS(L133&lt;500000,"Band 1: &lt;5L", L133&lt;1000000,"Band 2: 5-10L", L133&lt;1500000,"Band 3: 10-15L", L133&lt;2000000,"Band 4: 15-20L", L133&gt;=2000000,"Band 5: 20L+")</f>
        <v>Band 3: 10-15L</v>
      </c>
      <c r="AB133" t="str" cm="1">
        <f t="array" ref="AB133">_xlfn.IFS(N133=1,"Poor", N133=2,"Below Average", N133=3,"Average", N133=4,"Good", N133=5,"Excellent")</f>
        <v>Below Average</v>
      </c>
      <c r="AC133" s="14">
        <f t="shared" si="17"/>
        <v>117936.85740000001</v>
      </c>
      <c r="AD133" t="str" cm="1">
        <f t="array" ref="AD133">_xlfn.IFS(K133&lt;2,"Junior (0-2 yrs)", K133&lt;5,"Mid-Level (2-5 yrs)", K133&lt;10,"Senior (5-10 yrs)", K133&gt;=10,"Expert (10+ yrs)")</f>
        <v>Expert (10+ yrs)</v>
      </c>
    </row>
    <row r="134" spans="1:30" x14ac:dyDescent="0.3">
      <c r="A134" s="1" t="s">
        <v>1025</v>
      </c>
      <c r="B134" s="1" t="s">
        <v>1026</v>
      </c>
      <c r="C134" s="1" t="s">
        <v>110</v>
      </c>
      <c r="D134" s="1" t="s">
        <v>23</v>
      </c>
      <c r="E134" s="1" t="s">
        <v>168</v>
      </c>
      <c r="F134" s="1" t="s">
        <v>37</v>
      </c>
      <c r="G134" s="1">
        <v>39</v>
      </c>
      <c r="H134" s="1" t="s">
        <v>84</v>
      </c>
      <c r="I134" s="1" t="s">
        <v>39</v>
      </c>
      <c r="J134" s="5">
        <v>41543</v>
      </c>
      <c r="K134" s="8">
        <v>23.8</v>
      </c>
      <c r="L134" s="11">
        <v>330310</v>
      </c>
      <c r="M134" s="12">
        <v>8.5800000000000001E-2</v>
      </c>
      <c r="N134" s="7">
        <v>4</v>
      </c>
      <c r="O134" s="1" t="s">
        <v>41</v>
      </c>
      <c r="P134" s="1">
        <v>9595756047</v>
      </c>
      <c r="Q134" s="1" t="s">
        <v>2671</v>
      </c>
      <c r="R134" s="10">
        <v>30</v>
      </c>
      <c r="S134" s="10">
        <v>85</v>
      </c>
      <c r="T134" s="1" t="s">
        <v>159</v>
      </c>
      <c r="U134" t="str">
        <f t="shared" si="12"/>
        <v>Invalid</v>
      </c>
      <c r="V134">
        <f t="shared" si="13"/>
        <v>9</v>
      </c>
      <c r="W134" t="str">
        <f t="shared" si="14"/>
        <v>Sep</v>
      </c>
      <c r="X134">
        <f t="shared" si="15"/>
        <v>2013</v>
      </c>
      <c r="Y134">
        <f t="shared" ca="1" si="16"/>
        <v>12</v>
      </c>
      <c r="Z134" t="str" cm="1">
        <f t="array" ref="Z134">_xlfn.IFS(G134&lt;30,"20-29",G134&lt;40,"30-39",G134&lt;50,"40-49",G134&gt;=50,"50+")</f>
        <v>30-39</v>
      </c>
      <c r="AA134" t="str" cm="1">
        <f t="array" ref="AA134">_xlfn.IFS(L134&lt;500000,"Band 1: &lt;5L", L134&lt;1000000,"Band 2: 5-10L", L134&lt;1500000,"Band 3: 10-15L", L134&lt;2000000,"Band 4: 15-20L", L134&gt;=2000000,"Band 5: 20L+")</f>
        <v>Band 1: &lt;5L</v>
      </c>
      <c r="AB134" t="str" cm="1">
        <f t="array" ref="AB134">_xlfn.IFS(N134=1,"Poor", N134=2,"Below Average", N134=3,"Average", N134=4,"Good", N134=5,"Excellent")</f>
        <v>Good</v>
      </c>
      <c r="AC134" s="14">
        <f t="shared" si="17"/>
        <v>28340.598000000002</v>
      </c>
      <c r="AD134" t="str" cm="1">
        <f t="array" ref="AD134">_xlfn.IFS(K134&lt;2,"Junior (0-2 yrs)", K134&lt;5,"Mid-Level (2-5 yrs)", K134&lt;10,"Senior (5-10 yrs)", K134&gt;=10,"Expert (10+ yrs)")</f>
        <v>Expert (10+ yrs)</v>
      </c>
    </row>
    <row r="135" spans="1:30" x14ac:dyDescent="0.3">
      <c r="A135" s="1" t="s">
        <v>1035</v>
      </c>
      <c r="B135" s="1" t="s">
        <v>1036</v>
      </c>
      <c r="C135" s="1" t="s">
        <v>58</v>
      </c>
      <c r="D135" s="1" t="s">
        <v>83</v>
      </c>
      <c r="E135" s="1" t="s">
        <v>60</v>
      </c>
      <c r="F135" s="1" t="s">
        <v>93</v>
      </c>
      <c r="G135" s="1">
        <v>44</v>
      </c>
      <c r="H135" s="1" t="s">
        <v>204</v>
      </c>
      <c r="I135" s="1" t="s">
        <v>39</v>
      </c>
      <c r="J135" s="5">
        <v>44693</v>
      </c>
      <c r="K135" s="8">
        <v>19.7</v>
      </c>
      <c r="L135" s="11">
        <v>1134490</v>
      </c>
      <c r="M135" s="12">
        <v>0.23910000000000001</v>
      </c>
      <c r="N135" s="7">
        <v>4</v>
      </c>
      <c r="O135" s="1" t="s">
        <v>41</v>
      </c>
      <c r="P135" s="1">
        <v>7336757755</v>
      </c>
      <c r="Q135" s="1" t="s">
        <v>2672</v>
      </c>
      <c r="R135" s="10">
        <v>43</v>
      </c>
      <c r="S135" s="10">
        <v>78</v>
      </c>
      <c r="T135" s="1" t="s">
        <v>271</v>
      </c>
      <c r="U135" t="str">
        <f t="shared" si="12"/>
        <v>Invalid</v>
      </c>
      <c r="V135">
        <f t="shared" si="13"/>
        <v>5</v>
      </c>
      <c r="W135" t="str">
        <f t="shared" si="14"/>
        <v>May</v>
      </c>
      <c r="X135">
        <f t="shared" si="15"/>
        <v>2022</v>
      </c>
      <c r="Y135">
        <f t="shared" ca="1" si="16"/>
        <v>3</v>
      </c>
      <c r="Z135" t="str" cm="1">
        <f t="array" ref="Z135">_xlfn.IFS(G135&lt;30,"20-29",G135&lt;40,"30-39",G135&lt;50,"40-49",G135&gt;=50,"50+")</f>
        <v>40-49</v>
      </c>
      <c r="AA135" t="str" cm="1">
        <f t="array" ref="AA135">_xlfn.IFS(L135&lt;500000,"Band 1: &lt;5L", L135&lt;1000000,"Band 2: 5-10L", L135&lt;1500000,"Band 3: 10-15L", L135&lt;2000000,"Band 4: 15-20L", L135&gt;=2000000,"Band 5: 20L+")</f>
        <v>Band 3: 10-15L</v>
      </c>
      <c r="AB135" t="str" cm="1">
        <f t="array" ref="AB135">_xlfn.IFS(N135=1,"Poor", N135=2,"Below Average", N135=3,"Average", N135=4,"Good", N135=5,"Excellent")</f>
        <v>Good</v>
      </c>
      <c r="AC135" s="14">
        <f t="shared" si="17"/>
        <v>271256.55900000001</v>
      </c>
      <c r="AD135" t="str" cm="1">
        <f t="array" ref="AD135">_xlfn.IFS(K135&lt;2,"Junior (0-2 yrs)", K135&lt;5,"Mid-Level (2-5 yrs)", K135&lt;10,"Senior (5-10 yrs)", K135&gt;=10,"Expert (10+ yrs)")</f>
        <v>Expert (10+ yrs)</v>
      </c>
    </row>
    <row r="136" spans="1:30" x14ac:dyDescent="0.3">
      <c r="A136" s="1" t="s">
        <v>1040</v>
      </c>
      <c r="B136" s="1" t="s">
        <v>1041</v>
      </c>
      <c r="C136" s="1" t="s">
        <v>58</v>
      </c>
      <c r="D136" s="1" t="s">
        <v>244</v>
      </c>
      <c r="E136" s="1" t="s">
        <v>168</v>
      </c>
      <c r="F136" s="1" t="s">
        <v>37</v>
      </c>
      <c r="G136" s="1">
        <v>49</v>
      </c>
      <c r="H136" s="1" t="s">
        <v>50</v>
      </c>
      <c r="I136" s="1" t="s">
        <v>27</v>
      </c>
      <c r="J136" s="5">
        <v>41746</v>
      </c>
      <c r="K136" s="8">
        <v>29.5</v>
      </c>
      <c r="L136" s="11">
        <v>2303247</v>
      </c>
      <c r="M136" s="12">
        <v>2.3599999999999999E-2</v>
      </c>
      <c r="N136" s="7">
        <v>5</v>
      </c>
      <c r="O136" s="1" t="s">
        <v>41</v>
      </c>
      <c r="P136" s="1">
        <v>7193681143</v>
      </c>
      <c r="Q136" s="1" t="s">
        <v>2673</v>
      </c>
      <c r="R136" s="10">
        <v>72</v>
      </c>
      <c r="S136" s="10">
        <v>45</v>
      </c>
      <c r="T136" s="1" t="s">
        <v>653</v>
      </c>
      <c r="U136" t="str">
        <f t="shared" si="12"/>
        <v>Valid</v>
      </c>
      <c r="V136">
        <f t="shared" si="13"/>
        <v>4</v>
      </c>
      <c r="W136" t="str">
        <f t="shared" si="14"/>
        <v>Apr</v>
      </c>
      <c r="X136">
        <f t="shared" si="15"/>
        <v>2014</v>
      </c>
      <c r="Y136">
        <f t="shared" ca="1" si="16"/>
        <v>11</v>
      </c>
      <c r="Z136" t="str" cm="1">
        <f t="array" ref="Z136">_xlfn.IFS(G136&lt;30,"20-29",G136&lt;40,"30-39",G136&lt;50,"40-49",G136&gt;=50,"50+")</f>
        <v>40-49</v>
      </c>
      <c r="AA136" t="str" cm="1">
        <f t="array" ref="AA136">_xlfn.IFS(L136&lt;500000,"Band 1: &lt;5L", L136&lt;1000000,"Band 2: 5-10L", L136&lt;1500000,"Band 3: 10-15L", L136&lt;2000000,"Band 4: 15-20L", L136&gt;=2000000,"Band 5: 20L+")</f>
        <v>Band 5: 20L+</v>
      </c>
      <c r="AB136" t="str" cm="1">
        <f t="array" ref="AB136">_xlfn.IFS(N136=1,"Poor", N136=2,"Below Average", N136=3,"Average", N136=4,"Good", N136=5,"Excellent")</f>
        <v>Excellent</v>
      </c>
      <c r="AC136" s="14">
        <f t="shared" si="17"/>
        <v>54356.629199999996</v>
      </c>
      <c r="AD136" t="str" cm="1">
        <f t="array" ref="AD136">_xlfn.IFS(K136&lt;2,"Junior (0-2 yrs)", K136&lt;5,"Mid-Level (2-5 yrs)", K136&lt;10,"Senior (5-10 yrs)", K136&gt;=10,"Expert (10+ yrs)")</f>
        <v>Expert (10+ yrs)</v>
      </c>
    </row>
    <row r="137" spans="1:30" x14ac:dyDescent="0.3">
      <c r="A137" s="1" t="s">
        <v>1044</v>
      </c>
      <c r="B137" s="1" t="s">
        <v>1045</v>
      </c>
      <c r="C137" s="1" t="s">
        <v>124</v>
      </c>
      <c r="D137" s="1" t="s">
        <v>244</v>
      </c>
      <c r="E137" s="1" t="s">
        <v>175</v>
      </c>
      <c r="F137" s="1" t="s">
        <v>37</v>
      </c>
      <c r="G137" s="1">
        <v>26</v>
      </c>
      <c r="H137" s="1" t="s">
        <v>84</v>
      </c>
      <c r="I137" s="1" t="s">
        <v>51</v>
      </c>
      <c r="J137" s="5">
        <v>43667</v>
      </c>
      <c r="K137" s="8">
        <v>1.6</v>
      </c>
      <c r="L137" s="11">
        <v>1174709</v>
      </c>
      <c r="M137" s="12">
        <v>0.1226</v>
      </c>
      <c r="N137" s="7">
        <v>3</v>
      </c>
      <c r="O137" s="1" t="s">
        <v>41</v>
      </c>
      <c r="P137" s="1">
        <v>8288922118</v>
      </c>
      <c r="Q137" s="1" t="s">
        <v>2674</v>
      </c>
      <c r="R137" s="10">
        <v>76</v>
      </c>
      <c r="S137" s="10">
        <v>61</v>
      </c>
      <c r="T137" s="1" t="s">
        <v>1049</v>
      </c>
      <c r="U137" t="str">
        <f t="shared" si="12"/>
        <v>Valid</v>
      </c>
      <c r="V137">
        <f t="shared" si="13"/>
        <v>7</v>
      </c>
      <c r="W137" t="str">
        <f t="shared" si="14"/>
        <v>Jul</v>
      </c>
      <c r="X137">
        <f t="shared" si="15"/>
        <v>2019</v>
      </c>
      <c r="Y137">
        <f t="shared" ca="1" si="16"/>
        <v>6</v>
      </c>
      <c r="Z137" t="str" cm="1">
        <f t="array" ref="Z137">_xlfn.IFS(G137&lt;30,"20-29",G137&lt;40,"30-39",G137&lt;50,"40-49",G137&gt;=50,"50+")</f>
        <v>20-29</v>
      </c>
      <c r="AA137" t="str" cm="1">
        <f t="array" ref="AA137">_xlfn.IFS(L137&lt;500000,"Band 1: &lt;5L", L137&lt;1000000,"Band 2: 5-10L", L137&lt;1500000,"Band 3: 10-15L", L137&lt;2000000,"Band 4: 15-20L", L137&gt;=2000000,"Band 5: 20L+")</f>
        <v>Band 3: 10-15L</v>
      </c>
      <c r="AB137" t="str" cm="1">
        <f t="array" ref="AB137">_xlfn.IFS(N137=1,"Poor", N137=2,"Below Average", N137=3,"Average", N137=4,"Good", N137=5,"Excellent")</f>
        <v>Average</v>
      </c>
      <c r="AC137" s="14">
        <f t="shared" si="17"/>
        <v>144019.32339999999</v>
      </c>
      <c r="AD137" t="str" cm="1">
        <f t="array" ref="AD137">_xlfn.IFS(K137&lt;2,"Junior (0-2 yrs)", K137&lt;5,"Mid-Level (2-5 yrs)", K137&lt;10,"Senior (5-10 yrs)", K137&gt;=10,"Expert (10+ yrs)")</f>
        <v>Junior (0-2 yrs)</v>
      </c>
    </row>
    <row r="138" spans="1:30" x14ac:dyDescent="0.3">
      <c r="A138" s="1" t="s">
        <v>1050</v>
      </c>
      <c r="B138" s="1" t="s">
        <v>1051</v>
      </c>
      <c r="C138" s="1" t="s">
        <v>110</v>
      </c>
      <c r="D138" s="1" t="s">
        <v>231</v>
      </c>
      <c r="E138" s="1" t="s">
        <v>36</v>
      </c>
      <c r="F138" s="1" t="s">
        <v>37</v>
      </c>
      <c r="G138" s="1">
        <v>43</v>
      </c>
      <c r="H138" s="1" t="s">
        <v>103</v>
      </c>
      <c r="I138" s="1" t="s">
        <v>39</v>
      </c>
      <c r="J138" s="5">
        <v>45063</v>
      </c>
      <c r="K138" s="8">
        <v>10.7</v>
      </c>
      <c r="L138" s="11">
        <v>2293420</v>
      </c>
      <c r="M138" s="12">
        <v>0.1133</v>
      </c>
      <c r="N138" s="7">
        <v>3</v>
      </c>
      <c r="O138" s="1" t="s">
        <v>41</v>
      </c>
      <c r="P138" s="1">
        <v>7859324105</v>
      </c>
      <c r="Q138" s="1" t="s">
        <v>2675</v>
      </c>
      <c r="R138" s="10">
        <v>23</v>
      </c>
      <c r="S138" s="10">
        <v>80</v>
      </c>
      <c r="T138" s="1" t="s">
        <v>1055</v>
      </c>
      <c r="U138" t="str">
        <f t="shared" si="12"/>
        <v>Valid</v>
      </c>
      <c r="V138">
        <f t="shared" si="13"/>
        <v>5</v>
      </c>
      <c r="W138" t="str">
        <f t="shared" si="14"/>
        <v>May</v>
      </c>
      <c r="X138">
        <f t="shared" si="15"/>
        <v>2023</v>
      </c>
      <c r="Y138">
        <f t="shared" ca="1" si="16"/>
        <v>2</v>
      </c>
      <c r="Z138" t="str" cm="1">
        <f t="array" ref="Z138">_xlfn.IFS(G138&lt;30,"20-29",G138&lt;40,"30-39",G138&lt;50,"40-49",G138&gt;=50,"50+")</f>
        <v>40-49</v>
      </c>
      <c r="AA138" t="str" cm="1">
        <f t="array" ref="AA138">_xlfn.IFS(L138&lt;500000,"Band 1: &lt;5L", L138&lt;1000000,"Band 2: 5-10L", L138&lt;1500000,"Band 3: 10-15L", L138&lt;2000000,"Band 4: 15-20L", L138&gt;=2000000,"Band 5: 20L+")</f>
        <v>Band 5: 20L+</v>
      </c>
      <c r="AB138" t="str" cm="1">
        <f t="array" ref="AB138">_xlfn.IFS(N138=1,"Poor", N138=2,"Below Average", N138=3,"Average", N138=4,"Good", N138=5,"Excellent")</f>
        <v>Average</v>
      </c>
      <c r="AC138" s="14">
        <f t="shared" si="17"/>
        <v>259844.486</v>
      </c>
      <c r="AD138" t="str" cm="1">
        <f t="array" ref="AD138">_xlfn.IFS(K138&lt;2,"Junior (0-2 yrs)", K138&lt;5,"Mid-Level (2-5 yrs)", K138&lt;10,"Senior (5-10 yrs)", K138&gt;=10,"Expert (10+ yrs)")</f>
        <v>Expert (10+ yrs)</v>
      </c>
    </row>
    <row r="139" spans="1:30" x14ac:dyDescent="0.3">
      <c r="A139" s="1" t="s">
        <v>1062</v>
      </c>
      <c r="B139" s="1" t="s">
        <v>1063</v>
      </c>
      <c r="C139" s="1" t="s">
        <v>58</v>
      </c>
      <c r="D139" s="1" t="s">
        <v>244</v>
      </c>
      <c r="E139" s="1" t="s">
        <v>71</v>
      </c>
      <c r="F139" s="1" t="s">
        <v>93</v>
      </c>
      <c r="G139" s="1">
        <v>57</v>
      </c>
      <c r="H139" s="1" t="s">
        <v>103</v>
      </c>
      <c r="I139" s="1" t="s">
        <v>51</v>
      </c>
      <c r="J139" s="5">
        <v>41793</v>
      </c>
      <c r="K139" s="8">
        <v>21.6</v>
      </c>
      <c r="L139" s="11">
        <v>2349033</v>
      </c>
      <c r="M139" s="12">
        <v>0.13519999999999999</v>
      </c>
      <c r="N139" s="7">
        <v>4</v>
      </c>
      <c r="O139" s="1" t="s">
        <v>76</v>
      </c>
      <c r="P139" s="1">
        <v>7703922444</v>
      </c>
      <c r="Q139" s="1" t="s">
        <v>2676</v>
      </c>
      <c r="R139" s="10">
        <v>44</v>
      </c>
      <c r="S139" s="10">
        <v>74</v>
      </c>
      <c r="T139" s="1" t="s">
        <v>159</v>
      </c>
      <c r="U139" t="str">
        <f t="shared" si="12"/>
        <v>Valid</v>
      </c>
      <c r="V139">
        <f t="shared" si="13"/>
        <v>6</v>
      </c>
      <c r="W139" t="str">
        <f t="shared" si="14"/>
        <v>Jun</v>
      </c>
      <c r="X139">
        <f t="shared" si="15"/>
        <v>2014</v>
      </c>
      <c r="Y139">
        <f t="shared" ca="1" si="16"/>
        <v>11</v>
      </c>
      <c r="Z139" t="str" cm="1">
        <f t="array" ref="Z139">_xlfn.IFS(G139&lt;30,"20-29",G139&lt;40,"30-39",G139&lt;50,"40-49",G139&gt;=50,"50+")</f>
        <v>50+</v>
      </c>
      <c r="AA139" t="str" cm="1">
        <f t="array" ref="AA139">_xlfn.IFS(L139&lt;500000,"Band 1: &lt;5L", L139&lt;1000000,"Band 2: 5-10L", L139&lt;1500000,"Band 3: 10-15L", L139&lt;2000000,"Band 4: 15-20L", L139&gt;=2000000,"Band 5: 20L+")</f>
        <v>Band 5: 20L+</v>
      </c>
      <c r="AB139" t="str" cm="1">
        <f t="array" ref="AB139">_xlfn.IFS(N139=1,"Poor", N139=2,"Below Average", N139=3,"Average", N139=4,"Good", N139=5,"Excellent")</f>
        <v>Good</v>
      </c>
      <c r="AC139" s="14">
        <f t="shared" si="17"/>
        <v>317589.26159999997</v>
      </c>
      <c r="AD139" t="str" cm="1">
        <f t="array" ref="AD139">_xlfn.IFS(K139&lt;2,"Junior (0-2 yrs)", K139&lt;5,"Mid-Level (2-5 yrs)", K139&lt;10,"Senior (5-10 yrs)", K139&gt;=10,"Expert (10+ yrs)")</f>
        <v>Expert (10+ yrs)</v>
      </c>
    </row>
    <row r="140" spans="1:30" x14ac:dyDescent="0.3">
      <c r="A140" s="1" t="s">
        <v>1077</v>
      </c>
      <c r="B140" s="1" t="s">
        <v>1078</v>
      </c>
      <c r="C140" s="1" t="s">
        <v>69</v>
      </c>
      <c r="D140" s="1" t="s">
        <v>23</v>
      </c>
      <c r="E140" s="1" t="s">
        <v>71</v>
      </c>
      <c r="F140" s="1" t="s">
        <v>93</v>
      </c>
      <c r="G140" s="1">
        <v>37</v>
      </c>
      <c r="H140" s="1" t="s">
        <v>218</v>
      </c>
      <c r="I140" s="1" t="s">
        <v>39</v>
      </c>
      <c r="J140" s="5">
        <v>44538</v>
      </c>
      <c r="K140" s="8">
        <v>17.7</v>
      </c>
      <c r="L140" s="11">
        <v>1614538</v>
      </c>
      <c r="M140" s="12">
        <v>0.2157</v>
      </c>
      <c r="N140" s="7">
        <v>4</v>
      </c>
      <c r="O140" s="1" t="s">
        <v>41</v>
      </c>
      <c r="P140" s="1">
        <v>7919589589</v>
      </c>
      <c r="Q140" s="1" t="s">
        <v>2677</v>
      </c>
      <c r="R140" s="10">
        <v>68</v>
      </c>
      <c r="S140" s="10">
        <v>14</v>
      </c>
      <c r="T140" s="1" t="s">
        <v>1061</v>
      </c>
      <c r="U140" t="str">
        <f t="shared" si="12"/>
        <v>Valid</v>
      </c>
      <c r="V140">
        <f t="shared" si="13"/>
        <v>12</v>
      </c>
      <c r="W140" t="str">
        <f t="shared" si="14"/>
        <v>Dec</v>
      </c>
      <c r="X140">
        <f t="shared" si="15"/>
        <v>2021</v>
      </c>
      <c r="Y140">
        <f t="shared" ca="1" si="16"/>
        <v>4</v>
      </c>
      <c r="Z140" t="str" cm="1">
        <f t="array" ref="Z140">_xlfn.IFS(G140&lt;30,"20-29",G140&lt;40,"30-39",G140&lt;50,"40-49",G140&gt;=50,"50+")</f>
        <v>30-39</v>
      </c>
      <c r="AA140" t="str" cm="1">
        <f t="array" ref="AA140">_xlfn.IFS(L140&lt;500000,"Band 1: &lt;5L", L140&lt;1000000,"Band 2: 5-10L", L140&lt;1500000,"Band 3: 10-15L", L140&lt;2000000,"Band 4: 15-20L", L140&gt;=2000000,"Band 5: 20L+")</f>
        <v>Band 4: 15-20L</v>
      </c>
      <c r="AB140" t="str" cm="1">
        <f t="array" ref="AB140">_xlfn.IFS(N140=1,"Poor", N140=2,"Below Average", N140=3,"Average", N140=4,"Good", N140=5,"Excellent")</f>
        <v>Good</v>
      </c>
      <c r="AC140" s="14">
        <f t="shared" si="17"/>
        <v>348255.84659999999</v>
      </c>
      <c r="AD140" t="str" cm="1">
        <f t="array" ref="AD140">_xlfn.IFS(K140&lt;2,"Junior (0-2 yrs)", K140&lt;5,"Mid-Level (2-5 yrs)", K140&lt;10,"Senior (5-10 yrs)", K140&gt;=10,"Expert (10+ yrs)")</f>
        <v>Expert (10+ yrs)</v>
      </c>
    </row>
    <row r="141" spans="1:30" x14ac:dyDescent="0.3">
      <c r="A141" s="1" t="s">
        <v>1082</v>
      </c>
      <c r="B141" s="1" t="s">
        <v>1083</v>
      </c>
      <c r="C141" s="1" t="s">
        <v>69</v>
      </c>
      <c r="D141" s="1" t="s">
        <v>83</v>
      </c>
      <c r="E141" s="1" t="s">
        <v>168</v>
      </c>
      <c r="F141" s="1" t="s">
        <v>37</v>
      </c>
      <c r="G141" s="1">
        <v>44</v>
      </c>
      <c r="H141" s="1" t="s">
        <v>204</v>
      </c>
      <c r="I141" s="1" t="s">
        <v>39</v>
      </c>
      <c r="J141" s="5">
        <v>45203</v>
      </c>
      <c r="K141" s="8">
        <v>27.3</v>
      </c>
      <c r="L141" s="11">
        <v>2315041</v>
      </c>
      <c r="M141" s="12">
        <v>9.849999999999999E-2</v>
      </c>
      <c r="N141" s="7">
        <v>2</v>
      </c>
      <c r="O141" s="1" t="s">
        <v>41</v>
      </c>
      <c r="P141" s="1">
        <v>9264897266</v>
      </c>
      <c r="Q141" s="1" t="s">
        <v>2678</v>
      </c>
      <c r="R141" s="10">
        <v>25</v>
      </c>
      <c r="S141" s="10">
        <v>17</v>
      </c>
      <c r="T141" s="1" t="s">
        <v>457</v>
      </c>
      <c r="U141" t="str">
        <f t="shared" si="12"/>
        <v>Valid</v>
      </c>
      <c r="V141">
        <f t="shared" si="13"/>
        <v>10</v>
      </c>
      <c r="W141" t="str">
        <f t="shared" si="14"/>
        <v>Oct</v>
      </c>
      <c r="X141">
        <f t="shared" si="15"/>
        <v>2023</v>
      </c>
      <c r="Y141">
        <f t="shared" ca="1" si="16"/>
        <v>2</v>
      </c>
      <c r="Z141" t="str" cm="1">
        <f t="array" ref="Z141">_xlfn.IFS(G141&lt;30,"20-29",G141&lt;40,"30-39",G141&lt;50,"40-49",G141&gt;=50,"50+")</f>
        <v>40-49</v>
      </c>
      <c r="AA141" t="str" cm="1">
        <f t="array" ref="AA141">_xlfn.IFS(L141&lt;500000,"Band 1: &lt;5L", L141&lt;1000000,"Band 2: 5-10L", L141&lt;1500000,"Band 3: 10-15L", L141&lt;2000000,"Band 4: 15-20L", L141&gt;=2000000,"Band 5: 20L+")</f>
        <v>Band 5: 20L+</v>
      </c>
      <c r="AB141" t="str" cm="1">
        <f t="array" ref="AB141">_xlfn.IFS(N141=1,"Poor", N141=2,"Below Average", N141=3,"Average", N141=4,"Good", N141=5,"Excellent")</f>
        <v>Below Average</v>
      </c>
      <c r="AC141" s="14">
        <f t="shared" si="17"/>
        <v>228031.53849999997</v>
      </c>
      <c r="AD141" t="str" cm="1">
        <f t="array" ref="AD141">_xlfn.IFS(K141&lt;2,"Junior (0-2 yrs)", K141&lt;5,"Mid-Level (2-5 yrs)", K141&lt;10,"Senior (5-10 yrs)", K141&gt;=10,"Expert (10+ yrs)")</f>
        <v>Expert (10+ yrs)</v>
      </c>
    </row>
    <row r="142" spans="1:30" x14ac:dyDescent="0.3">
      <c r="A142" s="1" t="s">
        <v>1090</v>
      </c>
      <c r="B142" s="1" t="s">
        <v>1091</v>
      </c>
      <c r="C142" s="1" t="s">
        <v>124</v>
      </c>
      <c r="D142" s="1" t="s">
        <v>23</v>
      </c>
      <c r="E142" s="1" t="s">
        <v>102</v>
      </c>
      <c r="F142" s="1" t="s">
        <v>93</v>
      </c>
      <c r="G142" s="1">
        <v>54</v>
      </c>
      <c r="H142" s="1" t="s">
        <v>84</v>
      </c>
      <c r="I142" s="1" t="s">
        <v>39</v>
      </c>
      <c r="J142" s="5">
        <v>41434</v>
      </c>
      <c r="K142" s="8">
        <v>2.7</v>
      </c>
      <c r="L142" s="11">
        <v>2379682</v>
      </c>
      <c r="M142" s="12">
        <v>0.20030000000000001</v>
      </c>
      <c r="N142" s="7">
        <v>4</v>
      </c>
      <c r="O142" s="1" t="s">
        <v>76</v>
      </c>
      <c r="P142" s="1">
        <v>8732061472</v>
      </c>
      <c r="Q142" s="1" t="s">
        <v>2679</v>
      </c>
      <c r="R142" s="10">
        <v>63</v>
      </c>
      <c r="S142" s="10">
        <v>15</v>
      </c>
      <c r="T142" s="1" t="s">
        <v>756</v>
      </c>
      <c r="U142" t="str">
        <f t="shared" si="12"/>
        <v>Invalid</v>
      </c>
      <c r="V142">
        <f t="shared" si="13"/>
        <v>6</v>
      </c>
      <c r="W142" t="str">
        <f t="shared" si="14"/>
        <v>Jun</v>
      </c>
      <c r="X142">
        <f t="shared" si="15"/>
        <v>2013</v>
      </c>
      <c r="Y142">
        <f t="shared" ca="1" si="16"/>
        <v>12</v>
      </c>
      <c r="Z142" t="str" cm="1">
        <f t="array" ref="Z142">_xlfn.IFS(G142&lt;30,"20-29",G142&lt;40,"30-39",G142&lt;50,"40-49",G142&gt;=50,"50+")</f>
        <v>50+</v>
      </c>
      <c r="AA142" t="str" cm="1">
        <f t="array" ref="AA142">_xlfn.IFS(L142&lt;500000,"Band 1: &lt;5L", L142&lt;1000000,"Band 2: 5-10L", L142&lt;1500000,"Band 3: 10-15L", L142&lt;2000000,"Band 4: 15-20L", L142&gt;=2000000,"Band 5: 20L+")</f>
        <v>Band 5: 20L+</v>
      </c>
      <c r="AB142" t="str" cm="1">
        <f t="array" ref="AB142">_xlfn.IFS(N142=1,"Poor", N142=2,"Below Average", N142=3,"Average", N142=4,"Good", N142=5,"Excellent")</f>
        <v>Good</v>
      </c>
      <c r="AC142" s="14">
        <f t="shared" si="17"/>
        <v>476650.30460000003</v>
      </c>
      <c r="AD142" t="str" cm="1">
        <f t="array" ref="AD142">_xlfn.IFS(K142&lt;2,"Junior (0-2 yrs)", K142&lt;5,"Mid-Level (2-5 yrs)", K142&lt;10,"Senior (5-10 yrs)", K142&gt;=10,"Expert (10+ yrs)")</f>
        <v>Mid-Level (2-5 yrs)</v>
      </c>
    </row>
    <row r="143" spans="1:30" x14ac:dyDescent="0.3">
      <c r="A143" s="1" t="s">
        <v>1095</v>
      </c>
      <c r="B143" s="1" t="s">
        <v>1096</v>
      </c>
      <c r="C143" s="1" t="s">
        <v>197</v>
      </c>
      <c r="D143" s="1" t="s">
        <v>23</v>
      </c>
      <c r="E143" s="1" t="s">
        <v>290</v>
      </c>
      <c r="F143" s="1" t="s">
        <v>37</v>
      </c>
      <c r="G143" s="1">
        <v>42</v>
      </c>
      <c r="H143" s="1" t="s">
        <v>73</v>
      </c>
      <c r="I143" s="1" t="s">
        <v>198</v>
      </c>
      <c r="J143" s="5">
        <v>42345</v>
      </c>
      <c r="K143" s="8">
        <v>16.899999999999999</v>
      </c>
      <c r="L143" s="11">
        <v>2297275</v>
      </c>
      <c r="M143" s="12">
        <v>0.20489999999999997</v>
      </c>
      <c r="N143" s="7">
        <v>3</v>
      </c>
      <c r="O143" s="1" t="s">
        <v>41</v>
      </c>
      <c r="P143" s="1">
        <v>7983232694</v>
      </c>
      <c r="Q143" s="1" t="s">
        <v>2680</v>
      </c>
      <c r="R143" s="10">
        <v>60</v>
      </c>
      <c r="S143" s="10">
        <v>40</v>
      </c>
      <c r="T143" s="1" t="s">
        <v>1100</v>
      </c>
      <c r="U143" t="str">
        <f t="shared" si="12"/>
        <v>Valid</v>
      </c>
      <c r="V143">
        <f t="shared" si="13"/>
        <v>12</v>
      </c>
      <c r="W143" t="str">
        <f t="shared" si="14"/>
        <v>Dec</v>
      </c>
      <c r="X143">
        <f t="shared" si="15"/>
        <v>2015</v>
      </c>
      <c r="Y143">
        <f t="shared" ca="1" si="16"/>
        <v>10</v>
      </c>
      <c r="Z143" t="str" cm="1">
        <f t="array" ref="Z143">_xlfn.IFS(G143&lt;30,"20-29",G143&lt;40,"30-39",G143&lt;50,"40-49",G143&gt;=50,"50+")</f>
        <v>40-49</v>
      </c>
      <c r="AA143" t="str" cm="1">
        <f t="array" ref="AA143">_xlfn.IFS(L143&lt;500000,"Band 1: &lt;5L", L143&lt;1000000,"Band 2: 5-10L", L143&lt;1500000,"Band 3: 10-15L", L143&lt;2000000,"Band 4: 15-20L", L143&gt;=2000000,"Band 5: 20L+")</f>
        <v>Band 5: 20L+</v>
      </c>
      <c r="AB143" t="str" cm="1">
        <f t="array" ref="AB143">_xlfn.IFS(N143=1,"Poor", N143=2,"Below Average", N143=3,"Average", N143=4,"Good", N143=5,"Excellent")</f>
        <v>Average</v>
      </c>
      <c r="AC143" s="14">
        <f t="shared" si="17"/>
        <v>470711.6474999999</v>
      </c>
      <c r="AD143" t="str" cm="1">
        <f t="array" ref="AD143">_xlfn.IFS(K143&lt;2,"Junior (0-2 yrs)", K143&lt;5,"Mid-Level (2-5 yrs)", K143&lt;10,"Senior (5-10 yrs)", K143&gt;=10,"Expert (10+ yrs)")</f>
        <v>Expert (10+ yrs)</v>
      </c>
    </row>
    <row r="144" spans="1:30" x14ac:dyDescent="0.3">
      <c r="A144" s="1" t="s">
        <v>107</v>
      </c>
      <c r="B144" s="1" t="s">
        <v>1101</v>
      </c>
      <c r="C144" s="1" t="s">
        <v>69</v>
      </c>
      <c r="D144" s="1" t="s">
        <v>23</v>
      </c>
      <c r="E144" s="1" t="s">
        <v>24</v>
      </c>
      <c r="F144" s="1" t="s">
        <v>37</v>
      </c>
      <c r="G144" s="1">
        <v>49</v>
      </c>
      <c r="H144" s="1" t="s">
        <v>26</v>
      </c>
      <c r="I144" s="1" t="s">
        <v>51</v>
      </c>
      <c r="J144" s="5">
        <v>43634</v>
      </c>
      <c r="K144" s="8">
        <v>24.5</v>
      </c>
      <c r="L144" s="11">
        <v>883993</v>
      </c>
      <c r="M144" s="12">
        <v>0.16980000000000001</v>
      </c>
      <c r="N144" s="7">
        <v>4</v>
      </c>
      <c r="O144" s="1" t="s">
        <v>41</v>
      </c>
      <c r="P144" s="1">
        <v>8242676804</v>
      </c>
      <c r="Q144" s="1" t="s">
        <v>2681</v>
      </c>
      <c r="R144" s="10">
        <v>52</v>
      </c>
      <c r="S144" s="10">
        <v>35</v>
      </c>
      <c r="T144" s="1" t="s">
        <v>938</v>
      </c>
      <c r="U144" t="str">
        <f t="shared" si="12"/>
        <v>Invalid</v>
      </c>
      <c r="V144">
        <f t="shared" si="13"/>
        <v>6</v>
      </c>
      <c r="W144" t="str">
        <f t="shared" si="14"/>
        <v>Jun</v>
      </c>
      <c r="X144">
        <f t="shared" si="15"/>
        <v>2019</v>
      </c>
      <c r="Y144">
        <f t="shared" ca="1" si="16"/>
        <v>6</v>
      </c>
      <c r="Z144" t="str" cm="1">
        <f t="array" ref="Z144">_xlfn.IFS(G144&lt;30,"20-29",G144&lt;40,"30-39",G144&lt;50,"40-49",G144&gt;=50,"50+")</f>
        <v>40-49</v>
      </c>
      <c r="AA144" t="str" cm="1">
        <f t="array" ref="AA144">_xlfn.IFS(L144&lt;500000,"Band 1: &lt;5L", L144&lt;1000000,"Band 2: 5-10L", L144&lt;1500000,"Band 3: 10-15L", L144&lt;2000000,"Band 4: 15-20L", L144&gt;=2000000,"Band 5: 20L+")</f>
        <v>Band 2: 5-10L</v>
      </c>
      <c r="AB144" t="str" cm="1">
        <f t="array" ref="AB144">_xlfn.IFS(N144=1,"Poor", N144=2,"Below Average", N144=3,"Average", N144=4,"Good", N144=5,"Excellent")</f>
        <v>Good</v>
      </c>
      <c r="AC144" s="14">
        <f t="shared" si="17"/>
        <v>150102.01140000002</v>
      </c>
      <c r="AD144" t="str" cm="1">
        <f t="array" ref="AD144">_xlfn.IFS(K144&lt;2,"Junior (0-2 yrs)", K144&lt;5,"Mid-Level (2-5 yrs)", K144&lt;10,"Senior (5-10 yrs)", K144&gt;=10,"Expert (10+ yrs)")</f>
        <v>Expert (10+ yrs)</v>
      </c>
    </row>
    <row r="145" spans="1:30" x14ac:dyDescent="0.3">
      <c r="A145" s="1" t="s">
        <v>1105</v>
      </c>
      <c r="B145" s="1" t="s">
        <v>1106</v>
      </c>
      <c r="C145" s="1" t="s">
        <v>58</v>
      </c>
      <c r="D145" s="1" t="s">
        <v>244</v>
      </c>
      <c r="E145" s="1" t="s">
        <v>60</v>
      </c>
      <c r="F145" s="1" t="s">
        <v>37</v>
      </c>
      <c r="G145" s="1">
        <v>23</v>
      </c>
      <c r="H145" s="1" t="s">
        <v>73</v>
      </c>
      <c r="I145" s="1" t="s">
        <v>74</v>
      </c>
      <c r="J145" s="5">
        <v>44508</v>
      </c>
      <c r="K145" s="8">
        <v>20</v>
      </c>
      <c r="L145" s="11">
        <v>446001</v>
      </c>
      <c r="M145" s="12">
        <v>9.7100000000000006E-2</v>
      </c>
      <c r="N145" s="7">
        <v>3</v>
      </c>
      <c r="O145" s="1" t="s">
        <v>41</v>
      </c>
      <c r="P145" s="1">
        <v>9943119201</v>
      </c>
      <c r="Q145" s="1" t="s">
        <v>2682</v>
      </c>
      <c r="R145" s="10">
        <v>50</v>
      </c>
      <c r="S145" s="10">
        <v>117</v>
      </c>
      <c r="T145" s="1" t="s">
        <v>653</v>
      </c>
      <c r="U145" t="str">
        <f t="shared" si="12"/>
        <v>Invalid</v>
      </c>
      <c r="V145">
        <f t="shared" si="13"/>
        <v>11</v>
      </c>
      <c r="W145" t="str">
        <f t="shared" si="14"/>
        <v>Nov</v>
      </c>
      <c r="X145">
        <f t="shared" si="15"/>
        <v>2021</v>
      </c>
      <c r="Y145">
        <f t="shared" ca="1" si="16"/>
        <v>4</v>
      </c>
      <c r="Z145" t="str" cm="1">
        <f t="array" ref="Z145">_xlfn.IFS(G145&lt;30,"20-29",G145&lt;40,"30-39",G145&lt;50,"40-49",G145&gt;=50,"50+")</f>
        <v>20-29</v>
      </c>
      <c r="AA145" t="str" cm="1">
        <f t="array" ref="AA145">_xlfn.IFS(L145&lt;500000,"Band 1: &lt;5L", L145&lt;1000000,"Band 2: 5-10L", L145&lt;1500000,"Band 3: 10-15L", L145&lt;2000000,"Band 4: 15-20L", L145&gt;=2000000,"Band 5: 20L+")</f>
        <v>Band 1: &lt;5L</v>
      </c>
      <c r="AB145" t="str" cm="1">
        <f t="array" ref="AB145">_xlfn.IFS(N145=1,"Poor", N145=2,"Below Average", N145=3,"Average", N145=4,"Good", N145=5,"Excellent")</f>
        <v>Average</v>
      </c>
      <c r="AC145" s="14">
        <f t="shared" si="17"/>
        <v>43306.697100000005</v>
      </c>
      <c r="AD145" t="str" cm="1">
        <f t="array" ref="AD145">_xlfn.IFS(K145&lt;2,"Junior (0-2 yrs)", K145&lt;5,"Mid-Level (2-5 yrs)", K145&lt;10,"Senior (5-10 yrs)", K145&gt;=10,"Expert (10+ yrs)")</f>
        <v>Expert (10+ yrs)</v>
      </c>
    </row>
    <row r="146" spans="1:30" x14ac:dyDescent="0.3">
      <c r="A146" s="1" t="s">
        <v>1110</v>
      </c>
      <c r="B146" s="1" t="s">
        <v>1111</v>
      </c>
      <c r="C146" s="1" t="s">
        <v>124</v>
      </c>
      <c r="D146" s="1" t="s">
        <v>231</v>
      </c>
      <c r="E146" s="1" t="s">
        <v>189</v>
      </c>
      <c r="F146" s="1" t="s">
        <v>37</v>
      </c>
      <c r="G146" s="1">
        <v>41</v>
      </c>
      <c r="H146" s="1" t="s">
        <v>73</v>
      </c>
      <c r="I146" s="1" t="s">
        <v>39</v>
      </c>
      <c r="J146" s="5">
        <v>42930</v>
      </c>
      <c r="K146" s="8">
        <v>4.2</v>
      </c>
      <c r="L146" s="11">
        <v>2405897</v>
      </c>
      <c r="M146" s="12">
        <v>4.4199999999999996E-2</v>
      </c>
      <c r="N146" s="7">
        <v>4</v>
      </c>
      <c r="O146" s="1" t="s">
        <v>41</v>
      </c>
      <c r="P146" s="1">
        <v>7486963383</v>
      </c>
      <c r="Q146" s="1" t="s">
        <v>2539</v>
      </c>
      <c r="R146" s="10">
        <v>69</v>
      </c>
      <c r="S146" s="10">
        <v>36</v>
      </c>
      <c r="T146" s="1" t="s">
        <v>194</v>
      </c>
      <c r="U146" t="str">
        <f t="shared" si="12"/>
        <v>Invalid</v>
      </c>
      <c r="V146">
        <f t="shared" si="13"/>
        <v>7</v>
      </c>
      <c r="W146" t="str">
        <f t="shared" si="14"/>
        <v>Jul</v>
      </c>
      <c r="X146">
        <f t="shared" si="15"/>
        <v>2017</v>
      </c>
      <c r="Y146">
        <f t="shared" ca="1" si="16"/>
        <v>8</v>
      </c>
      <c r="Z146" t="str" cm="1">
        <f t="array" ref="Z146">_xlfn.IFS(G146&lt;30,"20-29",G146&lt;40,"30-39",G146&lt;50,"40-49",G146&gt;=50,"50+")</f>
        <v>40-49</v>
      </c>
      <c r="AA146" t="str" cm="1">
        <f t="array" ref="AA146">_xlfn.IFS(L146&lt;500000,"Band 1: &lt;5L", L146&lt;1000000,"Band 2: 5-10L", L146&lt;1500000,"Band 3: 10-15L", L146&lt;2000000,"Band 4: 15-20L", L146&gt;=2000000,"Band 5: 20L+")</f>
        <v>Band 5: 20L+</v>
      </c>
      <c r="AB146" t="str" cm="1">
        <f t="array" ref="AB146">_xlfn.IFS(N146=1,"Poor", N146=2,"Below Average", N146=3,"Average", N146=4,"Good", N146=5,"Excellent")</f>
        <v>Good</v>
      </c>
      <c r="AC146" s="14">
        <f t="shared" si="17"/>
        <v>106340.64739999999</v>
      </c>
      <c r="AD146" t="str" cm="1">
        <f t="array" ref="AD146">_xlfn.IFS(K146&lt;2,"Junior (0-2 yrs)", K146&lt;5,"Mid-Level (2-5 yrs)", K146&lt;10,"Senior (5-10 yrs)", K146&gt;=10,"Expert (10+ yrs)")</f>
        <v>Mid-Level (2-5 yrs)</v>
      </c>
    </row>
    <row r="147" spans="1:30" x14ac:dyDescent="0.3">
      <c r="A147" s="1" t="s">
        <v>1115</v>
      </c>
      <c r="B147" s="1" t="s">
        <v>1116</v>
      </c>
      <c r="C147" s="1" t="s">
        <v>58</v>
      </c>
      <c r="D147" s="1" t="s">
        <v>23</v>
      </c>
      <c r="E147" s="1" t="s">
        <v>189</v>
      </c>
      <c r="F147" s="1" t="s">
        <v>37</v>
      </c>
      <c r="G147" s="1">
        <v>26</v>
      </c>
      <c r="H147" s="1" t="s">
        <v>62</v>
      </c>
      <c r="I147" s="1" t="s">
        <v>51</v>
      </c>
      <c r="J147" s="5">
        <v>42201</v>
      </c>
      <c r="K147" s="8">
        <v>9.6</v>
      </c>
      <c r="L147" s="11">
        <v>2051437</v>
      </c>
      <c r="M147" s="12">
        <v>0.11230000000000001</v>
      </c>
      <c r="N147" s="7">
        <v>5</v>
      </c>
      <c r="O147" s="1" t="s">
        <v>41</v>
      </c>
      <c r="P147" s="1">
        <v>9167944263</v>
      </c>
      <c r="Q147" s="1" t="s">
        <v>2683</v>
      </c>
      <c r="R147" s="10">
        <v>41</v>
      </c>
      <c r="S147" s="10">
        <v>79</v>
      </c>
      <c r="T147" s="1" t="s">
        <v>933</v>
      </c>
      <c r="U147" t="str">
        <f t="shared" si="12"/>
        <v>Valid</v>
      </c>
      <c r="V147">
        <f t="shared" si="13"/>
        <v>7</v>
      </c>
      <c r="W147" t="str">
        <f t="shared" si="14"/>
        <v>Jul</v>
      </c>
      <c r="X147">
        <f t="shared" si="15"/>
        <v>2015</v>
      </c>
      <c r="Y147">
        <f t="shared" ca="1" si="16"/>
        <v>10</v>
      </c>
      <c r="Z147" t="str" cm="1">
        <f t="array" ref="Z147">_xlfn.IFS(G147&lt;30,"20-29",G147&lt;40,"30-39",G147&lt;50,"40-49",G147&gt;=50,"50+")</f>
        <v>20-29</v>
      </c>
      <c r="AA147" t="str" cm="1">
        <f t="array" ref="AA147">_xlfn.IFS(L147&lt;500000,"Band 1: &lt;5L", L147&lt;1000000,"Band 2: 5-10L", L147&lt;1500000,"Band 3: 10-15L", L147&lt;2000000,"Band 4: 15-20L", L147&gt;=2000000,"Band 5: 20L+")</f>
        <v>Band 5: 20L+</v>
      </c>
      <c r="AB147" t="str" cm="1">
        <f t="array" ref="AB147">_xlfn.IFS(N147=1,"Poor", N147=2,"Below Average", N147=3,"Average", N147=4,"Good", N147=5,"Excellent")</f>
        <v>Excellent</v>
      </c>
      <c r="AC147" s="14">
        <f t="shared" si="17"/>
        <v>230376.37510000003</v>
      </c>
      <c r="AD147" t="str" cm="1">
        <f t="array" ref="AD147">_xlfn.IFS(K147&lt;2,"Junior (0-2 yrs)", K147&lt;5,"Mid-Level (2-5 yrs)", K147&lt;10,"Senior (5-10 yrs)", K147&gt;=10,"Expert (10+ yrs)")</f>
        <v>Senior (5-10 yrs)</v>
      </c>
    </row>
    <row r="148" spans="1:30" x14ac:dyDescent="0.3">
      <c r="A148" s="1" t="s">
        <v>1124</v>
      </c>
      <c r="B148" s="1" t="s">
        <v>1125</v>
      </c>
      <c r="C148" s="1" t="s">
        <v>58</v>
      </c>
      <c r="D148" s="1" t="s">
        <v>23</v>
      </c>
      <c r="E148" s="1" t="s">
        <v>92</v>
      </c>
      <c r="F148" s="1" t="s">
        <v>37</v>
      </c>
      <c r="G148" s="1">
        <v>27</v>
      </c>
      <c r="H148" s="1" t="s">
        <v>204</v>
      </c>
      <c r="I148" s="1" t="s">
        <v>74</v>
      </c>
      <c r="J148" s="5">
        <v>41281</v>
      </c>
      <c r="K148" s="8">
        <v>24.6</v>
      </c>
      <c r="L148" s="11">
        <v>358199</v>
      </c>
      <c r="M148" s="12">
        <v>7.5199999999999989E-2</v>
      </c>
      <c r="N148" s="7">
        <v>3</v>
      </c>
      <c r="O148" s="1" t="s">
        <v>76</v>
      </c>
      <c r="P148" s="1">
        <v>9688903570</v>
      </c>
      <c r="Q148" s="1" t="s">
        <v>2684</v>
      </c>
      <c r="R148" s="10">
        <v>60</v>
      </c>
      <c r="S148" s="10">
        <v>14</v>
      </c>
      <c r="T148" s="1" t="s">
        <v>522</v>
      </c>
      <c r="U148" t="str">
        <f t="shared" si="12"/>
        <v>Valid</v>
      </c>
      <c r="V148">
        <f t="shared" si="13"/>
        <v>1</v>
      </c>
      <c r="W148" t="str">
        <f t="shared" si="14"/>
        <v>Jan</v>
      </c>
      <c r="X148">
        <f t="shared" si="15"/>
        <v>2013</v>
      </c>
      <c r="Y148">
        <f t="shared" ca="1" si="16"/>
        <v>13</v>
      </c>
      <c r="Z148" t="str" cm="1">
        <f t="array" ref="Z148">_xlfn.IFS(G148&lt;30,"20-29",G148&lt;40,"30-39",G148&lt;50,"40-49",G148&gt;=50,"50+")</f>
        <v>20-29</v>
      </c>
      <c r="AA148" t="str" cm="1">
        <f t="array" ref="AA148">_xlfn.IFS(L148&lt;500000,"Band 1: &lt;5L", L148&lt;1000000,"Band 2: 5-10L", L148&lt;1500000,"Band 3: 10-15L", L148&lt;2000000,"Band 4: 15-20L", L148&gt;=2000000,"Band 5: 20L+")</f>
        <v>Band 1: &lt;5L</v>
      </c>
      <c r="AB148" t="str" cm="1">
        <f t="array" ref="AB148">_xlfn.IFS(N148=1,"Poor", N148=2,"Below Average", N148=3,"Average", N148=4,"Good", N148=5,"Excellent")</f>
        <v>Average</v>
      </c>
      <c r="AC148" s="14">
        <f t="shared" si="17"/>
        <v>26936.564799999996</v>
      </c>
      <c r="AD148" t="str" cm="1">
        <f t="array" ref="AD148">_xlfn.IFS(K148&lt;2,"Junior (0-2 yrs)", K148&lt;5,"Mid-Level (2-5 yrs)", K148&lt;10,"Senior (5-10 yrs)", K148&gt;=10,"Expert (10+ yrs)")</f>
        <v>Expert (10+ yrs)</v>
      </c>
    </row>
    <row r="149" spans="1:30" x14ac:dyDescent="0.3">
      <c r="A149" s="1" t="s">
        <v>1142</v>
      </c>
      <c r="B149" s="1" t="s">
        <v>2514</v>
      </c>
      <c r="C149" s="1" t="s">
        <v>132</v>
      </c>
      <c r="D149" s="1" t="s">
        <v>23</v>
      </c>
      <c r="E149" s="1" t="s">
        <v>290</v>
      </c>
      <c r="F149" s="1" t="s">
        <v>93</v>
      </c>
      <c r="G149" s="1">
        <v>25</v>
      </c>
      <c r="H149" s="1" t="s">
        <v>84</v>
      </c>
      <c r="I149" s="1" t="s">
        <v>51</v>
      </c>
      <c r="J149" s="5">
        <v>40449</v>
      </c>
      <c r="K149" s="8">
        <v>27</v>
      </c>
      <c r="L149" s="11">
        <v>1447707</v>
      </c>
      <c r="M149" s="12">
        <v>0.1381</v>
      </c>
      <c r="N149" s="7">
        <v>5</v>
      </c>
      <c r="O149" s="1" t="s">
        <v>76</v>
      </c>
      <c r="P149" s="1">
        <v>9133033653</v>
      </c>
      <c r="Q149" s="1" t="s">
        <v>2685</v>
      </c>
      <c r="R149" s="10">
        <v>30</v>
      </c>
      <c r="S149" s="10">
        <v>49</v>
      </c>
      <c r="T149" s="1" t="s">
        <v>778</v>
      </c>
      <c r="U149" t="str">
        <f t="shared" si="12"/>
        <v>Valid</v>
      </c>
      <c r="V149">
        <f t="shared" si="13"/>
        <v>9</v>
      </c>
      <c r="W149" t="str">
        <f t="shared" si="14"/>
        <v>Sep</v>
      </c>
      <c r="X149">
        <f t="shared" si="15"/>
        <v>2010</v>
      </c>
      <c r="Y149">
        <f t="shared" ca="1" si="16"/>
        <v>15</v>
      </c>
      <c r="Z149" t="str" cm="1">
        <f t="array" ref="Z149">_xlfn.IFS(G149&lt;30,"20-29",G149&lt;40,"30-39",G149&lt;50,"40-49",G149&gt;=50,"50+")</f>
        <v>20-29</v>
      </c>
      <c r="AA149" t="str" cm="1">
        <f t="array" ref="AA149">_xlfn.IFS(L149&lt;500000,"Band 1: &lt;5L", L149&lt;1000000,"Band 2: 5-10L", L149&lt;1500000,"Band 3: 10-15L", L149&lt;2000000,"Band 4: 15-20L", L149&gt;=2000000,"Band 5: 20L+")</f>
        <v>Band 3: 10-15L</v>
      </c>
      <c r="AB149" t="str" cm="1">
        <f t="array" ref="AB149">_xlfn.IFS(N149=1,"Poor", N149=2,"Below Average", N149=3,"Average", N149=4,"Good", N149=5,"Excellent")</f>
        <v>Excellent</v>
      </c>
      <c r="AC149" s="14">
        <f t="shared" si="17"/>
        <v>199928.33670000001</v>
      </c>
      <c r="AD149" t="str" cm="1">
        <f t="array" ref="AD149">_xlfn.IFS(K149&lt;2,"Junior (0-2 yrs)", K149&lt;5,"Mid-Level (2-5 yrs)", K149&lt;10,"Senior (5-10 yrs)", K149&gt;=10,"Expert (10+ yrs)")</f>
        <v>Expert (10+ yrs)</v>
      </c>
    </row>
    <row r="150" spans="1:30" x14ac:dyDescent="0.3">
      <c r="A150" s="1" t="s">
        <v>1160</v>
      </c>
      <c r="B150" s="1" t="s">
        <v>1161</v>
      </c>
      <c r="C150" s="1" t="s">
        <v>197</v>
      </c>
      <c r="D150" s="1" t="s">
        <v>101</v>
      </c>
      <c r="E150" s="1" t="s">
        <v>60</v>
      </c>
      <c r="F150" s="1" t="s">
        <v>93</v>
      </c>
      <c r="G150" s="1">
        <v>55</v>
      </c>
      <c r="H150" s="1" t="s">
        <v>103</v>
      </c>
      <c r="I150" s="1" t="s">
        <v>74</v>
      </c>
      <c r="J150" s="5">
        <v>43135</v>
      </c>
      <c r="K150" s="8">
        <v>2.8</v>
      </c>
      <c r="L150" s="11">
        <v>595229</v>
      </c>
      <c r="M150" s="12">
        <v>4.4699999999999997E-2</v>
      </c>
      <c r="N150" s="7">
        <v>4</v>
      </c>
      <c r="O150" s="1" t="s">
        <v>41</v>
      </c>
      <c r="P150" s="1">
        <v>9259977516</v>
      </c>
      <c r="Q150" s="1" t="s">
        <v>2686</v>
      </c>
      <c r="R150" s="10">
        <v>53</v>
      </c>
      <c r="S150" s="10">
        <v>98</v>
      </c>
      <c r="T150" s="1" t="s">
        <v>677</v>
      </c>
      <c r="U150" t="str">
        <f t="shared" si="12"/>
        <v>Valid</v>
      </c>
      <c r="V150">
        <f t="shared" si="13"/>
        <v>2</v>
      </c>
      <c r="W150" t="str">
        <f t="shared" si="14"/>
        <v>Feb</v>
      </c>
      <c r="X150">
        <f t="shared" si="15"/>
        <v>2018</v>
      </c>
      <c r="Y150">
        <f t="shared" ca="1" si="16"/>
        <v>8</v>
      </c>
      <c r="Z150" t="str" cm="1">
        <f t="array" ref="Z150">_xlfn.IFS(G150&lt;30,"20-29",G150&lt;40,"30-39",G150&lt;50,"40-49",G150&gt;=50,"50+")</f>
        <v>50+</v>
      </c>
      <c r="AA150" t="str" cm="1">
        <f t="array" ref="AA150">_xlfn.IFS(L150&lt;500000,"Band 1: &lt;5L", L150&lt;1000000,"Band 2: 5-10L", L150&lt;1500000,"Band 3: 10-15L", L150&lt;2000000,"Band 4: 15-20L", L150&gt;=2000000,"Band 5: 20L+")</f>
        <v>Band 2: 5-10L</v>
      </c>
      <c r="AB150" t="str" cm="1">
        <f t="array" ref="AB150">_xlfn.IFS(N150=1,"Poor", N150=2,"Below Average", N150=3,"Average", N150=4,"Good", N150=5,"Excellent")</f>
        <v>Good</v>
      </c>
      <c r="AC150" s="14">
        <f t="shared" si="17"/>
        <v>26606.736299999997</v>
      </c>
      <c r="AD150" t="str" cm="1">
        <f t="array" ref="AD150">_xlfn.IFS(K150&lt;2,"Junior (0-2 yrs)", K150&lt;5,"Mid-Level (2-5 yrs)", K150&lt;10,"Senior (5-10 yrs)", K150&gt;=10,"Expert (10+ yrs)")</f>
        <v>Mid-Level (2-5 yrs)</v>
      </c>
    </row>
    <row r="151" spans="1:30" x14ac:dyDescent="0.3">
      <c r="A151" s="1" t="s">
        <v>812</v>
      </c>
      <c r="B151" s="1" t="s">
        <v>1165</v>
      </c>
      <c r="C151" s="1" t="s">
        <v>58</v>
      </c>
      <c r="D151" s="1" t="s">
        <v>244</v>
      </c>
      <c r="E151" s="1" t="s">
        <v>92</v>
      </c>
      <c r="F151" s="1" t="s">
        <v>93</v>
      </c>
      <c r="G151" s="1">
        <v>55</v>
      </c>
      <c r="H151" s="1" t="s">
        <v>73</v>
      </c>
      <c r="I151" s="1" t="s">
        <v>39</v>
      </c>
      <c r="J151" s="5">
        <v>41450</v>
      </c>
      <c r="K151" s="8">
        <v>1</v>
      </c>
      <c r="L151" s="11">
        <v>2075895</v>
      </c>
      <c r="M151" s="12">
        <v>0.13489999999999999</v>
      </c>
      <c r="N151" s="7">
        <v>4</v>
      </c>
      <c r="O151" s="1" t="s">
        <v>41</v>
      </c>
      <c r="P151" s="1">
        <v>7331421524</v>
      </c>
      <c r="Q151" s="1" t="s">
        <v>2687</v>
      </c>
      <c r="R151" s="10">
        <v>67</v>
      </c>
      <c r="S151" s="10">
        <v>43</v>
      </c>
      <c r="T151" s="1" t="s">
        <v>213</v>
      </c>
      <c r="U151" t="str">
        <f t="shared" si="12"/>
        <v>Invalid</v>
      </c>
      <c r="V151">
        <f t="shared" si="13"/>
        <v>6</v>
      </c>
      <c r="W151" t="str">
        <f t="shared" si="14"/>
        <v>Jun</v>
      </c>
      <c r="X151">
        <f t="shared" si="15"/>
        <v>2013</v>
      </c>
      <c r="Y151">
        <f t="shared" ca="1" si="16"/>
        <v>12</v>
      </c>
      <c r="Z151" t="str" cm="1">
        <f t="array" ref="Z151">_xlfn.IFS(G151&lt;30,"20-29",G151&lt;40,"30-39",G151&lt;50,"40-49",G151&gt;=50,"50+")</f>
        <v>50+</v>
      </c>
      <c r="AA151" t="str" cm="1">
        <f t="array" ref="AA151">_xlfn.IFS(L151&lt;500000,"Band 1: &lt;5L", L151&lt;1000000,"Band 2: 5-10L", L151&lt;1500000,"Band 3: 10-15L", L151&lt;2000000,"Band 4: 15-20L", L151&gt;=2000000,"Band 5: 20L+")</f>
        <v>Band 5: 20L+</v>
      </c>
      <c r="AB151" t="str" cm="1">
        <f t="array" ref="AB151">_xlfn.IFS(N151=1,"Poor", N151=2,"Below Average", N151=3,"Average", N151=4,"Good", N151=5,"Excellent")</f>
        <v>Good</v>
      </c>
      <c r="AC151" s="14">
        <f t="shared" si="17"/>
        <v>280038.23550000001</v>
      </c>
      <c r="AD151" t="str" cm="1">
        <f t="array" ref="AD151">_xlfn.IFS(K151&lt;2,"Junior (0-2 yrs)", K151&lt;5,"Mid-Level (2-5 yrs)", K151&lt;10,"Senior (5-10 yrs)", K151&gt;=10,"Expert (10+ yrs)")</f>
        <v>Junior (0-2 yrs)</v>
      </c>
    </row>
    <row r="152" spans="1:30" x14ac:dyDescent="0.3">
      <c r="A152" s="1" t="s">
        <v>1187</v>
      </c>
      <c r="B152" s="1" t="s">
        <v>1188</v>
      </c>
      <c r="C152" s="1" t="s">
        <v>197</v>
      </c>
      <c r="D152" s="1" t="s">
        <v>231</v>
      </c>
      <c r="E152" s="1" t="s">
        <v>290</v>
      </c>
      <c r="F152" s="1" t="s">
        <v>37</v>
      </c>
      <c r="G152" s="1">
        <v>28</v>
      </c>
      <c r="H152" s="1" t="s">
        <v>204</v>
      </c>
      <c r="I152" s="1" t="s">
        <v>51</v>
      </c>
      <c r="J152" s="5">
        <v>43607</v>
      </c>
      <c r="K152" s="8">
        <v>16.3</v>
      </c>
      <c r="L152" s="11">
        <v>1363812</v>
      </c>
      <c r="M152" s="12">
        <v>6.3399999999999998E-2</v>
      </c>
      <c r="N152" s="7">
        <v>4</v>
      </c>
      <c r="O152" s="1" t="s">
        <v>76</v>
      </c>
      <c r="P152" s="1">
        <v>9072183247</v>
      </c>
      <c r="Q152" s="1" t="s">
        <v>2688</v>
      </c>
      <c r="R152" s="10">
        <v>44</v>
      </c>
      <c r="S152" s="10">
        <v>50</v>
      </c>
      <c r="T152" s="1" t="s">
        <v>397</v>
      </c>
      <c r="U152" t="str">
        <f t="shared" si="12"/>
        <v>Valid</v>
      </c>
      <c r="V152">
        <f t="shared" si="13"/>
        <v>5</v>
      </c>
      <c r="W152" t="str">
        <f t="shared" si="14"/>
        <v>May</v>
      </c>
      <c r="X152">
        <f t="shared" si="15"/>
        <v>2019</v>
      </c>
      <c r="Y152">
        <f t="shared" ca="1" si="16"/>
        <v>6</v>
      </c>
      <c r="Z152" t="str" cm="1">
        <f t="array" ref="Z152">_xlfn.IFS(G152&lt;30,"20-29",G152&lt;40,"30-39",G152&lt;50,"40-49",G152&gt;=50,"50+")</f>
        <v>20-29</v>
      </c>
      <c r="AA152" t="str" cm="1">
        <f t="array" ref="AA152">_xlfn.IFS(L152&lt;500000,"Band 1: &lt;5L", L152&lt;1000000,"Band 2: 5-10L", L152&lt;1500000,"Band 3: 10-15L", L152&lt;2000000,"Band 4: 15-20L", L152&gt;=2000000,"Band 5: 20L+")</f>
        <v>Band 3: 10-15L</v>
      </c>
      <c r="AB152" t="str" cm="1">
        <f t="array" ref="AB152">_xlfn.IFS(N152=1,"Poor", N152=2,"Below Average", N152=3,"Average", N152=4,"Good", N152=5,"Excellent")</f>
        <v>Good</v>
      </c>
      <c r="AC152" s="14">
        <f t="shared" si="17"/>
        <v>86465.680800000002</v>
      </c>
      <c r="AD152" t="str" cm="1">
        <f t="array" ref="AD152">_xlfn.IFS(K152&lt;2,"Junior (0-2 yrs)", K152&lt;5,"Mid-Level (2-5 yrs)", K152&lt;10,"Senior (5-10 yrs)", K152&gt;=10,"Expert (10+ yrs)")</f>
        <v>Expert (10+ yrs)</v>
      </c>
    </row>
    <row r="153" spans="1:30" x14ac:dyDescent="0.3">
      <c r="A153" s="1" t="s">
        <v>1192</v>
      </c>
      <c r="B153" s="1" t="s">
        <v>1193</v>
      </c>
      <c r="C153" s="1" t="s">
        <v>110</v>
      </c>
      <c r="D153" s="1" t="s">
        <v>23</v>
      </c>
      <c r="E153" s="1" t="s">
        <v>92</v>
      </c>
      <c r="F153" s="1" t="s">
        <v>37</v>
      </c>
      <c r="G153" s="1">
        <v>43</v>
      </c>
      <c r="H153" s="1" t="s">
        <v>142</v>
      </c>
      <c r="I153" s="1" t="s">
        <v>74</v>
      </c>
      <c r="J153" s="5">
        <v>42394</v>
      </c>
      <c r="K153" s="8">
        <v>13</v>
      </c>
      <c r="L153" s="11">
        <v>1622659</v>
      </c>
      <c r="M153" s="12">
        <v>4.8999999999999998E-3</v>
      </c>
      <c r="N153" s="7">
        <v>1</v>
      </c>
      <c r="O153" s="1" t="s">
        <v>41</v>
      </c>
      <c r="P153" s="1">
        <v>9773658566</v>
      </c>
      <c r="Q153" s="1" t="s">
        <v>2689</v>
      </c>
      <c r="R153" s="10">
        <v>26</v>
      </c>
      <c r="S153" s="10">
        <v>32</v>
      </c>
      <c r="T153" s="1" t="s">
        <v>1049</v>
      </c>
      <c r="U153" t="str">
        <f t="shared" si="12"/>
        <v>Valid</v>
      </c>
      <c r="V153">
        <f t="shared" si="13"/>
        <v>1</v>
      </c>
      <c r="W153" t="str">
        <f t="shared" si="14"/>
        <v>Jan</v>
      </c>
      <c r="X153">
        <f t="shared" si="15"/>
        <v>2016</v>
      </c>
      <c r="Y153">
        <f t="shared" ca="1" si="16"/>
        <v>10</v>
      </c>
      <c r="Z153" t="str" cm="1">
        <f t="array" ref="Z153">_xlfn.IFS(G153&lt;30,"20-29",G153&lt;40,"30-39",G153&lt;50,"40-49",G153&gt;=50,"50+")</f>
        <v>40-49</v>
      </c>
      <c r="AA153" t="str" cm="1">
        <f t="array" ref="AA153">_xlfn.IFS(L153&lt;500000,"Band 1: &lt;5L", L153&lt;1000000,"Band 2: 5-10L", L153&lt;1500000,"Band 3: 10-15L", L153&lt;2000000,"Band 4: 15-20L", L153&gt;=2000000,"Band 5: 20L+")</f>
        <v>Band 4: 15-20L</v>
      </c>
      <c r="AB153" t="str" cm="1">
        <f t="array" ref="AB153">_xlfn.IFS(N153=1,"Poor", N153=2,"Below Average", N153=3,"Average", N153=4,"Good", N153=5,"Excellent")</f>
        <v>Poor</v>
      </c>
      <c r="AC153" s="14">
        <f t="shared" si="17"/>
        <v>7951.0290999999997</v>
      </c>
      <c r="AD153" t="str" cm="1">
        <f t="array" ref="AD153">_xlfn.IFS(K153&lt;2,"Junior (0-2 yrs)", K153&lt;5,"Mid-Level (2-5 yrs)", K153&lt;10,"Senior (5-10 yrs)", K153&gt;=10,"Expert (10+ yrs)")</f>
        <v>Expert (10+ yrs)</v>
      </c>
    </row>
    <row r="154" spans="1:30" x14ac:dyDescent="0.3">
      <c r="A154" s="1" t="s">
        <v>1197</v>
      </c>
      <c r="B154" s="1" t="s">
        <v>1198</v>
      </c>
      <c r="C154" s="1" t="s">
        <v>132</v>
      </c>
      <c r="D154" s="1" t="s">
        <v>23</v>
      </c>
      <c r="E154" s="1" t="s">
        <v>102</v>
      </c>
      <c r="F154" s="1" t="s">
        <v>93</v>
      </c>
      <c r="G154" s="1">
        <v>36</v>
      </c>
      <c r="H154" s="1" t="s">
        <v>26</v>
      </c>
      <c r="I154" s="1" t="s">
        <v>39</v>
      </c>
      <c r="J154" s="5">
        <v>44034</v>
      </c>
      <c r="K154" s="8">
        <v>9</v>
      </c>
      <c r="L154" s="11">
        <v>918141</v>
      </c>
      <c r="M154" s="12">
        <v>0.15390000000000001</v>
      </c>
      <c r="N154" s="7">
        <v>2</v>
      </c>
      <c r="O154" s="1" t="s">
        <v>41</v>
      </c>
      <c r="P154" s="1">
        <v>7964316616</v>
      </c>
      <c r="Q154" s="1" t="s">
        <v>2690</v>
      </c>
      <c r="R154" s="10">
        <v>10</v>
      </c>
      <c r="S154" s="10">
        <v>77</v>
      </c>
      <c r="T154" s="1" t="s">
        <v>904</v>
      </c>
      <c r="U154" t="str">
        <f t="shared" si="12"/>
        <v>Valid</v>
      </c>
      <c r="V154">
        <f t="shared" si="13"/>
        <v>7</v>
      </c>
      <c r="W154" t="str">
        <f t="shared" si="14"/>
        <v>Jul</v>
      </c>
      <c r="X154">
        <f t="shared" si="15"/>
        <v>2020</v>
      </c>
      <c r="Y154">
        <f t="shared" ca="1" si="16"/>
        <v>5</v>
      </c>
      <c r="Z154" t="str" cm="1">
        <f t="array" ref="Z154">_xlfn.IFS(G154&lt;30,"20-29",G154&lt;40,"30-39",G154&lt;50,"40-49",G154&gt;=50,"50+")</f>
        <v>30-39</v>
      </c>
      <c r="AA154" t="str" cm="1">
        <f t="array" ref="AA154">_xlfn.IFS(L154&lt;500000,"Band 1: &lt;5L", L154&lt;1000000,"Band 2: 5-10L", L154&lt;1500000,"Band 3: 10-15L", L154&lt;2000000,"Band 4: 15-20L", L154&gt;=2000000,"Band 5: 20L+")</f>
        <v>Band 2: 5-10L</v>
      </c>
      <c r="AB154" t="str" cm="1">
        <f t="array" ref="AB154">_xlfn.IFS(N154=1,"Poor", N154=2,"Below Average", N154=3,"Average", N154=4,"Good", N154=5,"Excellent")</f>
        <v>Below Average</v>
      </c>
      <c r="AC154" s="14">
        <f t="shared" si="17"/>
        <v>141301.89990000002</v>
      </c>
      <c r="AD154" t="str" cm="1">
        <f t="array" ref="AD154">_xlfn.IFS(K154&lt;2,"Junior (0-2 yrs)", K154&lt;5,"Mid-Level (2-5 yrs)", K154&lt;10,"Senior (5-10 yrs)", K154&gt;=10,"Expert (10+ yrs)")</f>
        <v>Senior (5-10 yrs)</v>
      </c>
    </row>
    <row r="155" spans="1:30" x14ac:dyDescent="0.3">
      <c r="A155" s="1" t="s">
        <v>865</v>
      </c>
      <c r="B155" s="1" t="s">
        <v>1202</v>
      </c>
      <c r="C155" s="1" t="s">
        <v>124</v>
      </c>
      <c r="D155" s="1" t="s">
        <v>101</v>
      </c>
      <c r="E155" s="1" t="s">
        <v>36</v>
      </c>
      <c r="F155" s="1" t="s">
        <v>93</v>
      </c>
      <c r="G155" s="1">
        <v>34</v>
      </c>
      <c r="H155" s="1" t="s">
        <v>103</v>
      </c>
      <c r="I155" s="1" t="s">
        <v>27</v>
      </c>
      <c r="J155" s="5">
        <v>41782</v>
      </c>
      <c r="K155" s="8">
        <v>7.1</v>
      </c>
      <c r="L155" s="11">
        <v>1470237</v>
      </c>
      <c r="M155" s="12">
        <v>3.0499999999999999E-2</v>
      </c>
      <c r="N155" s="7">
        <v>4</v>
      </c>
      <c r="O155" s="1" t="s">
        <v>41</v>
      </c>
      <c r="P155" s="1">
        <v>9407275865</v>
      </c>
      <c r="Q155" s="1" t="s">
        <v>2691</v>
      </c>
      <c r="R155" s="10">
        <v>48</v>
      </c>
      <c r="S155" s="10">
        <v>50</v>
      </c>
      <c r="T155" s="1" t="s">
        <v>568</v>
      </c>
      <c r="U155" t="str">
        <f t="shared" si="12"/>
        <v>Valid</v>
      </c>
      <c r="V155">
        <f t="shared" si="13"/>
        <v>5</v>
      </c>
      <c r="W155" t="str">
        <f t="shared" si="14"/>
        <v>May</v>
      </c>
      <c r="X155">
        <f t="shared" si="15"/>
        <v>2014</v>
      </c>
      <c r="Y155">
        <f t="shared" ca="1" si="16"/>
        <v>11</v>
      </c>
      <c r="Z155" t="str" cm="1">
        <f t="array" ref="Z155">_xlfn.IFS(G155&lt;30,"20-29",G155&lt;40,"30-39",G155&lt;50,"40-49",G155&gt;=50,"50+")</f>
        <v>30-39</v>
      </c>
      <c r="AA155" t="str" cm="1">
        <f t="array" ref="AA155">_xlfn.IFS(L155&lt;500000,"Band 1: &lt;5L", L155&lt;1000000,"Band 2: 5-10L", L155&lt;1500000,"Band 3: 10-15L", L155&lt;2000000,"Band 4: 15-20L", L155&gt;=2000000,"Band 5: 20L+")</f>
        <v>Band 3: 10-15L</v>
      </c>
      <c r="AB155" t="str" cm="1">
        <f t="array" ref="AB155">_xlfn.IFS(N155=1,"Poor", N155=2,"Below Average", N155=3,"Average", N155=4,"Good", N155=5,"Excellent")</f>
        <v>Good</v>
      </c>
      <c r="AC155" s="14">
        <f t="shared" si="17"/>
        <v>44842.228499999997</v>
      </c>
      <c r="AD155" t="str" cm="1">
        <f t="array" ref="AD155">_xlfn.IFS(K155&lt;2,"Junior (0-2 yrs)", K155&lt;5,"Mid-Level (2-5 yrs)", K155&lt;10,"Senior (5-10 yrs)", K155&gt;=10,"Expert (10+ yrs)")</f>
        <v>Senior (5-10 yrs)</v>
      </c>
    </row>
    <row r="156" spans="1:30" x14ac:dyDescent="0.3">
      <c r="A156" s="1" t="s">
        <v>1206</v>
      </c>
      <c r="B156" s="1" t="s">
        <v>1207</v>
      </c>
      <c r="C156" s="1" t="s">
        <v>69</v>
      </c>
      <c r="D156" s="1" t="s">
        <v>244</v>
      </c>
      <c r="E156" s="1" t="s">
        <v>175</v>
      </c>
      <c r="F156" s="1" t="s">
        <v>93</v>
      </c>
      <c r="G156" s="1">
        <v>51</v>
      </c>
      <c r="H156" s="1" t="s">
        <v>218</v>
      </c>
      <c r="I156" s="1" t="s">
        <v>39</v>
      </c>
      <c r="J156" s="5">
        <v>42342</v>
      </c>
      <c r="K156" s="8">
        <v>19.899999999999999</v>
      </c>
      <c r="L156" s="11">
        <v>1861467</v>
      </c>
      <c r="M156" s="12">
        <v>8.9499999999999996E-2</v>
      </c>
      <c r="N156" s="7">
        <v>1</v>
      </c>
      <c r="O156" s="1" t="s">
        <v>41</v>
      </c>
      <c r="P156" s="1">
        <v>8437579139</v>
      </c>
      <c r="Q156" s="1" t="s">
        <v>2692</v>
      </c>
      <c r="R156" s="10">
        <v>69</v>
      </c>
      <c r="S156" s="10">
        <v>2</v>
      </c>
      <c r="T156" s="1" t="s">
        <v>294</v>
      </c>
      <c r="U156" t="str">
        <f t="shared" si="12"/>
        <v>Valid</v>
      </c>
      <c r="V156">
        <f t="shared" si="13"/>
        <v>12</v>
      </c>
      <c r="W156" t="str">
        <f t="shared" si="14"/>
        <v>Dec</v>
      </c>
      <c r="X156">
        <f t="shared" si="15"/>
        <v>2015</v>
      </c>
      <c r="Y156">
        <f t="shared" ca="1" si="16"/>
        <v>10</v>
      </c>
      <c r="Z156" t="str" cm="1">
        <f t="array" ref="Z156">_xlfn.IFS(G156&lt;30,"20-29",G156&lt;40,"30-39",G156&lt;50,"40-49",G156&gt;=50,"50+")</f>
        <v>50+</v>
      </c>
      <c r="AA156" t="str" cm="1">
        <f t="array" ref="AA156">_xlfn.IFS(L156&lt;500000,"Band 1: &lt;5L", L156&lt;1000000,"Band 2: 5-10L", L156&lt;1500000,"Band 3: 10-15L", L156&lt;2000000,"Band 4: 15-20L", L156&gt;=2000000,"Band 5: 20L+")</f>
        <v>Band 4: 15-20L</v>
      </c>
      <c r="AB156" t="str" cm="1">
        <f t="array" ref="AB156">_xlfn.IFS(N156=1,"Poor", N156=2,"Below Average", N156=3,"Average", N156=4,"Good", N156=5,"Excellent")</f>
        <v>Poor</v>
      </c>
      <c r="AC156" s="14">
        <f t="shared" si="17"/>
        <v>166601.2965</v>
      </c>
      <c r="AD156" t="str" cm="1">
        <f t="array" ref="AD156">_xlfn.IFS(K156&lt;2,"Junior (0-2 yrs)", K156&lt;5,"Mid-Level (2-5 yrs)", K156&lt;10,"Senior (5-10 yrs)", K156&gt;=10,"Expert (10+ yrs)")</f>
        <v>Expert (10+ yrs)</v>
      </c>
    </row>
    <row r="157" spans="1:30" x14ac:dyDescent="0.3">
      <c r="A157" s="1" t="s">
        <v>201</v>
      </c>
      <c r="B157" s="1" t="s">
        <v>1226</v>
      </c>
      <c r="C157" s="1" t="s">
        <v>58</v>
      </c>
      <c r="D157" s="1" t="s">
        <v>23</v>
      </c>
      <c r="E157" s="1" t="s">
        <v>24</v>
      </c>
      <c r="F157" s="1" t="s">
        <v>93</v>
      </c>
      <c r="G157" s="1">
        <v>32</v>
      </c>
      <c r="H157" s="1" t="s">
        <v>103</v>
      </c>
      <c r="I157" s="1" t="s">
        <v>198</v>
      </c>
      <c r="J157" s="5">
        <v>45337</v>
      </c>
      <c r="K157" s="8">
        <v>3.2</v>
      </c>
      <c r="L157" s="11">
        <v>357354</v>
      </c>
      <c r="M157" s="12">
        <v>0.24510000000000001</v>
      </c>
      <c r="N157" s="7">
        <v>3</v>
      </c>
      <c r="O157" s="1" t="s">
        <v>41</v>
      </c>
      <c r="P157" s="1">
        <v>9185588660</v>
      </c>
      <c r="Q157" s="1" t="s">
        <v>2693</v>
      </c>
      <c r="R157" s="10">
        <v>70</v>
      </c>
      <c r="S157" s="10">
        <v>24</v>
      </c>
      <c r="T157" s="1" t="s">
        <v>712</v>
      </c>
      <c r="U157" t="str">
        <f t="shared" si="12"/>
        <v>Valid</v>
      </c>
      <c r="V157">
        <f t="shared" si="13"/>
        <v>2</v>
      </c>
      <c r="W157" t="str">
        <f t="shared" si="14"/>
        <v>Feb</v>
      </c>
      <c r="X157">
        <f t="shared" si="15"/>
        <v>2024</v>
      </c>
      <c r="Y157">
        <f t="shared" ca="1" si="16"/>
        <v>2</v>
      </c>
      <c r="Z157" t="str" cm="1">
        <f t="array" ref="Z157">_xlfn.IFS(G157&lt;30,"20-29",G157&lt;40,"30-39",G157&lt;50,"40-49",G157&gt;=50,"50+")</f>
        <v>30-39</v>
      </c>
      <c r="AA157" t="str" cm="1">
        <f t="array" ref="AA157">_xlfn.IFS(L157&lt;500000,"Band 1: &lt;5L", L157&lt;1000000,"Band 2: 5-10L", L157&lt;1500000,"Band 3: 10-15L", L157&lt;2000000,"Band 4: 15-20L", L157&gt;=2000000,"Band 5: 20L+")</f>
        <v>Band 1: &lt;5L</v>
      </c>
      <c r="AB157" t="str" cm="1">
        <f t="array" ref="AB157">_xlfn.IFS(N157=1,"Poor", N157=2,"Below Average", N157=3,"Average", N157=4,"Good", N157=5,"Excellent")</f>
        <v>Average</v>
      </c>
      <c r="AC157" s="14">
        <f t="shared" si="17"/>
        <v>87587.465400000001</v>
      </c>
      <c r="AD157" t="str" cm="1">
        <f t="array" ref="AD157">_xlfn.IFS(K157&lt;2,"Junior (0-2 yrs)", K157&lt;5,"Mid-Level (2-5 yrs)", K157&lt;10,"Senior (5-10 yrs)", K157&gt;=10,"Expert (10+ yrs)")</f>
        <v>Mid-Level (2-5 yrs)</v>
      </c>
    </row>
    <row r="158" spans="1:30" x14ac:dyDescent="0.3">
      <c r="A158" s="1" t="s">
        <v>1230</v>
      </c>
      <c r="B158" s="1" t="s">
        <v>1231</v>
      </c>
      <c r="C158" s="1" t="s">
        <v>124</v>
      </c>
      <c r="D158" s="1" t="s">
        <v>23</v>
      </c>
      <c r="E158" s="1" t="s">
        <v>102</v>
      </c>
      <c r="F158" s="1" t="s">
        <v>37</v>
      </c>
      <c r="G158" s="1">
        <v>29</v>
      </c>
      <c r="H158" s="1" t="s">
        <v>50</v>
      </c>
      <c r="I158" s="1" t="s">
        <v>198</v>
      </c>
      <c r="J158" s="5">
        <v>45489</v>
      </c>
      <c r="K158" s="8">
        <v>3.4</v>
      </c>
      <c r="L158" s="11">
        <v>915079</v>
      </c>
      <c r="M158" s="12">
        <v>0.1462</v>
      </c>
      <c r="N158" s="7">
        <v>3</v>
      </c>
      <c r="O158" s="1" t="s">
        <v>41</v>
      </c>
      <c r="P158" s="1">
        <v>9955459324</v>
      </c>
      <c r="Q158" s="1" t="s">
        <v>2694</v>
      </c>
      <c r="R158" s="10">
        <v>2</v>
      </c>
      <c r="S158" s="10">
        <v>85</v>
      </c>
      <c r="T158" s="1" t="s">
        <v>354</v>
      </c>
      <c r="U158" t="str">
        <f t="shared" si="12"/>
        <v>Invalid</v>
      </c>
      <c r="V158">
        <f t="shared" si="13"/>
        <v>7</v>
      </c>
      <c r="W158" t="str">
        <f t="shared" si="14"/>
        <v>Jul</v>
      </c>
      <c r="X158">
        <f t="shared" si="15"/>
        <v>2024</v>
      </c>
      <c r="Y158">
        <f t="shared" ca="1" si="16"/>
        <v>1</v>
      </c>
      <c r="Z158" t="str" cm="1">
        <f t="array" ref="Z158">_xlfn.IFS(G158&lt;30,"20-29",G158&lt;40,"30-39",G158&lt;50,"40-49",G158&gt;=50,"50+")</f>
        <v>20-29</v>
      </c>
      <c r="AA158" t="str" cm="1">
        <f t="array" ref="AA158">_xlfn.IFS(L158&lt;500000,"Band 1: &lt;5L", L158&lt;1000000,"Band 2: 5-10L", L158&lt;1500000,"Band 3: 10-15L", L158&lt;2000000,"Band 4: 15-20L", L158&gt;=2000000,"Band 5: 20L+")</f>
        <v>Band 2: 5-10L</v>
      </c>
      <c r="AB158" t="str" cm="1">
        <f t="array" ref="AB158">_xlfn.IFS(N158=1,"Poor", N158=2,"Below Average", N158=3,"Average", N158=4,"Good", N158=5,"Excellent")</f>
        <v>Average</v>
      </c>
      <c r="AC158" s="14">
        <f t="shared" si="17"/>
        <v>133784.54980000001</v>
      </c>
      <c r="AD158" t="str" cm="1">
        <f t="array" ref="AD158">_xlfn.IFS(K158&lt;2,"Junior (0-2 yrs)", K158&lt;5,"Mid-Level (2-5 yrs)", K158&lt;10,"Senior (5-10 yrs)", K158&gt;=10,"Expert (10+ yrs)")</f>
        <v>Mid-Level (2-5 yrs)</v>
      </c>
    </row>
    <row r="159" spans="1:30" x14ac:dyDescent="0.3">
      <c r="A159" s="1" t="s">
        <v>97</v>
      </c>
      <c r="B159" s="1" t="s">
        <v>1251</v>
      </c>
      <c r="C159" s="1" t="s">
        <v>110</v>
      </c>
      <c r="D159" s="1" t="s">
        <v>83</v>
      </c>
      <c r="E159" s="1" t="s">
        <v>168</v>
      </c>
      <c r="F159" s="1" t="s">
        <v>93</v>
      </c>
      <c r="G159" s="1">
        <v>49</v>
      </c>
      <c r="H159" s="1" t="s">
        <v>38</v>
      </c>
      <c r="I159" s="1" t="s">
        <v>39</v>
      </c>
      <c r="J159" s="5">
        <v>41629</v>
      </c>
      <c r="K159" s="8">
        <v>2.8</v>
      </c>
      <c r="L159" s="11">
        <v>1557252</v>
      </c>
      <c r="M159" s="12">
        <v>0.155</v>
      </c>
      <c r="N159" s="7">
        <v>5</v>
      </c>
      <c r="O159" s="1" t="s">
        <v>41</v>
      </c>
      <c r="P159" s="1">
        <v>7581923103</v>
      </c>
      <c r="Q159" s="1" t="s">
        <v>2695</v>
      </c>
      <c r="R159" s="10">
        <v>42</v>
      </c>
      <c r="S159" s="10">
        <v>55</v>
      </c>
      <c r="T159" s="1" t="s">
        <v>938</v>
      </c>
      <c r="U159" t="str">
        <f t="shared" si="12"/>
        <v>Invalid</v>
      </c>
      <c r="V159">
        <f t="shared" si="13"/>
        <v>12</v>
      </c>
      <c r="W159" t="str">
        <f t="shared" si="14"/>
        <v>Dec</v>
      </c>
      <c r="X159">
        <f t="shared" si="15"/>
        <v>2013</v>
      </c>
      <c r="Y159">
        <f t="shared" ca="1" si="16"/>
        <v>12</v>
      </c>
      <c r="Z159" t="str" cm="1">
        <f t="array" ref="Z159">_xlfn.IFS(G159&lt;30,"20-29",G159&lt;40,"30-39",G159&lt;50,"40-49",G159&gt;=50,"50+")</f>
        <v>40-49</v>
      </c>
      <c r="AA159" t="str" cm="1">
        <f t="array" ref="AA159">_xlfn.IFS(L159&lt;500000,"Band 1: &lt;5L", L159&lt;1000000,"Band 2: 5-10L", L159&lt;1500000,"Band 3: 10-15L", L159&lt;2000000,"Band 4: 15-20L", L159&gt;=2000000,"Band 5: 20L+")</f>
        <v>Band 4: 15-20L</v>
      </c>
      <c r="AB159" t="str" cm="1">
        <f t="array" ref="AB159">_xlfn.IFS(N159=1,"Poor", N159=2,"Below Average", N159=3,"Average", N159=4,"Good", N159=5,"Excellent")</f>
        <v>Excellent</v>
      </c>
      <c r="AC159" s="14">
        <f t="shared" si="17"/>
        <v>241374.06</v>
      </c>
      <c r="AD159" t="str" cm="1">
        <f t="array" ref="AD159">_xlfn.IFS(K159&lt;2,"Junior (0-2 yrs)", K159&lt;5,"Mid-Level (2-5 yrs)", K159&lt;10,"Senior (5-10 yrs)", K159&gt;=10,"Expert (10+ yrs)")</f>
        <v>Mid-Level (2-5 yrs)</v>
      </c>
    </row>
    <row r="160" spans="1:30" x14ac:dyDescent="0.3">
      <c r="A160" s="1" t="s">
        <v>1255</v>
      </c>
      <c r="B160" s="1" t="s">
        <v>1256</v>
      </c>
      <c r="C160" s="1" t="s">
        <v>110</v>
      </c>
      <c r="D160" s="1" t="s">
        <v>244</v>
      </c>
      <c r="E160" s="1" t="s">
        <v>60</v>
      </c>
      <c r="F160" s="1" t="s">
        <v>37</v>
      </c>
      <c r="G160" s="1">
        <v>52</v>
      </c>
      <c r="H160" s="1" t="s">
        <v>62</v>
      </c>
      <c r="I160" s="1" t="s">
        <v>39</v>
      </c>
      <c r="J160" s="5">
        <v>45429</v>
      </c>
      <c r="K160" s="8">
        <v>22.9</v>
      </c>
      <c r="L160" s="11">
        <v>1179939</v>
      </c>
      <c r="M160" s="12">
        <v>3.0699999999999998E-2</v>
      </c>
      <c r="N160" s="7">
        <v>5</v>
      </c>
      <c r="O160" s="1" t="s">
        <v>41</v>
      </c>
      <c r="P160" s="1">
        <v>8482736884</v>
      </c>
      <c r="Q160" s="1" t="s">
        <v>2696</v>
      </c>
      <c r="R160" s="10">
        <v>68</v>
      </c>
      <c r="S160" s="10">
        <v>57</v>
      </c>
      <c r="T160" s="1" t="s">
        <v>97</v>
      </c>
      <c r="U160" t="str">
        <f t="shared" si="12"/>
        <v>Invalid</v>
      </c>
      <c r="V160">
        <f t="shared" si="13"/>
        <v>5</v>
      </c>
      <c r="W160" t="str">
        <f t="shared" si="14"/>
        <v>May</v>
      </c>
      <c r="X160">
        <f t="shared" si="15"/>
        <v>2024</v>
      </c>
      <c r="Y160">
        <f t="shared" ca="1" si="16"/>
        <v>1</v>
      </c>
      <c r="Z160" t="str" cm="1">
        <f t="array" ref="Z160">_xlfn.IFS(G160&lt;30,"20-29",G160&lt;40,"30-39",G160&lt;50,"40-49",G160&gt;=50,"50+")</f>
        <v>50+</v>
      </c>
      <c r="AA160" t="str" cm="1">
        <f t="array" ref="AA160">_xlfn.IFS(L160&lt;500000,"Band 1: &lt;5L", L160&lt;1000000,"Band 2: 5-10L", L160&lt;1500000,"Band 3: 10-15L", L160&lt;2000000,"Band 4: 15-20L", L160&gt;=2000000,"Band 5: 20L+")</f>
        <v>Band 3: 10-15L</v>
      </c>
      <c r="AB160" t="str" cm="1">
        <f t="array" ref="AB160">_xlfn.IFS(N160=1,"Poor", N160=2,"Below Average", N160=3,"Average", N160=4,"Good", N160=5,"Excellent")</f>
        <v>Excellent</v>
      </c>
      <c r="AC160" s="14">
        <f t="shared" si="17"/>
        <v>36224.1273</v>
      </c>
      <c r="AD160" t="str" cm="1">
        <f t="array" ref="AD160">_xlfn.IFS(K160&lt;2,"Junior (0-2 yrs)", K160&lt;5,"Mid-Level (2-5 yrs)", K160&lt;10,"Senior (5-10 yrs)", K160&gt;=10,"Expert (10+ yrs)")</f>
        <v>Expert (10+ yrs)</v>
      </c>
    </row>
    <row r="161" spans="1:30" x14ac:dyDescent="0.3">
      <c r="A161" s="1" t="s">
        <v>1264</v>
      </c>
      <c r="B161" s="1" t="s">
        <v>1265</v>
      </c>
      <c r="C161" s="1" t="s">
        <v>110</v>
      </c>
      <c r="D161" s="1" t="s">
        <v>101</v>
      </c>
      <c r="E161" s="1" t="s">
        <v>189</v>
      </c>
      <c r="F161" s="1" t="s">
        <v>93</v>
      </c>
      <c r="G161" s="1">
        <v>57</v>
      </c>
      <c r="H161" s="1" t="s">
        <v>204</v>
      </c>
      <c r="I161" s="1" t="s">
        <v>39</v>
      </c>
      <c r="J161" s="5">
        <v>40890</v>
      </c>
      <c r="K161" s="8">
        <v>27</v>
      </c>
      <c r="L161" s="11">
        <v>1246162</v>
      </c>
      <c r="M161" s="12">
        <v>7.8100000000000003E-2</v>
      </c>
      <c r="N161" s="7">
        <v>5</v>
      </c>
      <c r="O161" s="1" t="s">
        <v>41</v>
      </c>
      <c r="P161" s="1">
        <v>8792433036</v>
      </c>
      <c r="Q161" s="1" t="s">
        <v>2697</v>
      </c>
      <c r="R161" s="10">
        <v>57</v>
      </c>
      <c r="S161" s="10">
        <v>26</v>
      </c>
      <c r="T161" s="1" t="s">
        <v>938</v>
      </c>
      <c r="U161" t="str">
        <f t="shared" si="12"/>
        <v>Invalid</v>
      </c>
      <c r="V161">
        <f t="shared" si="13"/>
        <v>12</v>
      </c>
      <c r="W161" t="str">
        <f t="shared" si="14"/>
        <v>Dec</v>
      </c>
      <c r="X161">
        <f t="shared" si="15"/>
        <v>2011</v>
      </c>
      <c r="Y161">
        <f t="shared" ca="1" si="16"/>
        <v>14</v>
      </c>
      <c r="Z161" t="str" cm="1">
        <f t="array" ref="Z161">_xlfn.IFS(G161&lt;30,"20-29",G161&lt;40,"30-39",G161&lt;50,"40-49",G161&gt;=50,"50+")</f>
        <v>50+</v>
      </c>
      <c r="AA161" t="str" cm="1">
        <f t="array" ref="AA161">_xlfn.IFS(L161&lt;500000,"Band 1: &lt;5L", L161&lt;1000000,"Band 2: 5-10L", L161&lt;1500000,"Band 3: 10-15L", L161&lt;2000000,"Band 4: 15-20L", L161&gt;=2000000,"Band 5: 20L+")</f>
        <v>Band 3: 10-15L</v>
      </c>
      <c r="AB161" t="str" cm="1">
        <f t="array" ref="AB161">_xlfn.IFS(N161=1,"Poor", N161=2,"Below Average", N161=3,"Average", N161=4,"Good", N161=5,"Excellent")</f>
        <v>Excellent</v>
      </c>
      <c r="AC161" s="14">
        <f t="shared" si="17"/>
        <v>97325.252200000003</v>
      </c>
      <c r="AD161" t="str" cm="1">
        <f t="array" ref="AD161">_xlfn.IFS(K161&lt;2,"Junior (0-2 yrs)", K161&lt;5,"Mid-Level (2-5 yrs)", K161&lt;10,"Senior (5-10 yrs)", K161&gt;=10,"Expert (10+ yrs)")</f>
        <v>Expert (10+ yrs)</v>
      </c>
    </row>
    <row r="162" spans="1:30" x14ac:dyDescent="0.3">
      <c r="A162" s="1" t="s">
        <v>1269</v>
      </c>
      <c r="B162" s="1" t="s">
        <v>1270</v>
      </c>
      <c r="C162" s="1" t="s">
        <v>110</v>
      </c>
      <c r="D162" s="1" t="s">
        <v>23</v>
      </c>
      <c r="E162" s="1" t="s">
        <v>92</v>
      </c>
      <c r="F162" s="1" t="s">
        <v>37</v>
      </c>
      <c r="G162" s="1">
        <v>42</v>
      </c>
      <c r="H162" s="1" t="s">
        <v>142</v>
      </c>
      <c r="I162" s="1" t="s">
        <v>39</v>
      </c>
      <c r="J162" s="5">
        <v>43330</v>
      </c>
      <c r="K162" s="8">
        <v>8.4</v>
      </c>
      <c r="L162" s="11">
        <v>2005128</v>
      </c>
      <c r="M162" s="12">
        <v>2.0400000000000001E-2</v>
      </c>
      <c r="N162" s="7">
        <v>4</v>
      </c>
      <c r="O162" s="1" t="s">
        <v>41</v>
      </c>
      <c r="P162" s="1">
        <v>9209464812</v>
      </c>
      <c r="Q162" s="1" t="s">
        <v>2540</v>
      </c>
      <c r="R162" s="10">
        <v>9</v>
      </c>
      <c r="S162" s="10">
        <v>96</v>
      </c>
      <c r="T162" s="1" t="s">
        <v>1274</v>
      </c>
      <c r="U162" t="str">
        <f t="shared" si="12"/>
        <v>Invalid</v>
      </c>
      <c r="V162">
        <f t="shared" si="13"/>
        <v>8</v>
      </c>
      <c r="W162" t="str">
        <f t="shared" si="14"/>
        <v>Aug</v>
      </c>
      <c r="X162">
        <f t="shared" si="15"/>
        <v>2018</v>
      </c>
      <c r="Y162">
        <f t="shared" ca="1" si="16"/>
        <v>7</v>
      </c>
      <c r="Z162" t="str" cm="1">
        <f t="array" ref="Z162">_xlfn.IFS(G162&lt;30,"20-29",G162&lt;40,"30-39",G162&lt;50,"40-49",G162&gt;=50,"50+")</f>
        <v>40-49</v>
      </c>
      <c r="AA162" t="str" cm="1">
        <f t="array" ref="AA162">_xlfn.IFS(L162&lt;500000,"Band 1: &lt;5L", L162&lt;1000000,"Band 2: 5-10L", L162&lt;1500000,"Band 3: 10-15L", L162&lt;2000000,"Band 4: 15-20L", L162&gt;=2000000,"Band 5: 20L+")</f>
        <v>Band 5: 20L+</v>
      </c>
      <c r="AB162" t="str" cm="1">
        <f t="array" ref="AB162">_xlfn.IFS(N162=1,"Poor", N162=2,"Below Average", N162=3,"Average", N162=4,"Good", N162=5,"Excellent")</f>
        <v>Good</v>
      </c>
      <c r="AC162" s="14">
        <f t="shared" si="17"/>
        <v>40904.611199999999</v>
      </c>
      <c r="AD162" t="str" cm="1">
        <f t="array" ref="AD162">_xlfn.IFS(K162&lt;2,"Junior (0-2 yrs)", K162&lt;5,"Mid-Level (2-5 yrs)", K162&lt;10,"Senior (5-10 yrs)", K162&gt;=10,"Expert (10+ yrs)")</f>
        <v>Senior (5-10 yrs)</v>
      </c>
    </row>
    <row r="163" spans="1:30" x14ac:dyDescent="0.3">
      <c r="A163" s="1" t="s">
        <v>1275</v>
      </c>
      <c r="B163" s="1" t="s">
        <v>1276</v>
      </c>
      <c r="C163" s="1" t="s">
        <v>197</v>
      </c>
      <c r="D163" s="1" t="s">
        <v>244</v>
      </c>
      <c r="E163" s="1" t="s">
        <v>48</v>
      </c>
      <c r="F163" s="1" t="s">
        <v>93</v>
      </c>
      <c r="G163" s="1">
        <v>46</v>
      </c>
      <c r="H163" s="1" t="s">
        <v>50</v>
      </c>
      <c r="I163" s="1" t="s">
        <v>51</v>
      </c>
      <c r="J163" s="5">
        <v>45633</v>
      </c>
      <c r="K163" s="8">
        <v>1.7</v>
      </c>
      <c r="L163" s="11">
        <v>1048330</v>
      </c>
      <c r="M163" s="12">
        <v>7.2000000000000008E-2</v>
      </c>
      <c r="N163" s="7">
        <v>5</v>
      </c>
      <c r="O163" s="1" t="s">
        <v>41</v>
      </c>
      <c r="P163" s="1">
        <v>8350197673</v>
      </c>
      <c r="Q163" s="1" t="s">
        <v>2698</v>
      </c>
      <c r="R163" s="10">
        <v>28</v>
      </c>
      <c r="S163" s="10">
        <v>36</v>
      </c>
      <c r="T163" s="1" t="s">
        <v>1280</v>
      </c>
      <c r="U163" t="str">
        <f t="shared" si="12"/>
        <v>Valid</v>
      </c>
      <c r="V163">
        <f t="shared" si="13"/>
        <v>12</v>
      </c>
      <c r="W163" t="str">
        <f t="shared" si="14"/>
        <v>Dec</v>
      </c>
      <c r="X163">
        <f t="shared" si="15"/>
        <v>2024</v>
      </c>
      <c r="Y163">
        <f t="shared" ca="1" si="16"/>
        <v>1</v>
      </c>
      <c r="Z163" t="str" cm="1">
        <f t="array" ref="Z163">_xlfn.IFS(G163&lt;30,"20-29",G163&lt;40,"30-39",G163&lt;50,"40-49",G163&gt;=50,"50+")</f>
        <v>40-49</v>
      </c>
      <c r="AA163" t="str" cm="1">
        <f t="array" ref="AA163">_xlfn.IFS(L163&lt;500000,"Band 1: &lt;5L", L163&lt;1000000,"Band 2: 5-10L", L163&lt;1500000,"Band 3: 10-15L", L163&lt;2000000,"Band 4: 15-20L", L163&gt;=2000000,"Band 5: 20L+")</f>
        <v>Band 3: 10-15L</v>
      </c>
      <c r="AB163" t="str" cm="1">
        <f t="array" ref="AB163">_xlfn.IFS(N163=1,"Poor", N163=2,"Below Average", N163=3,"Average", N163=4,"Good", N163=5,"Excellent")</f>
        <v>Excellent</v>
      </c>
      <c r="AC163" s="14">
        <f t="shared" si="17"/>
        <v>75479.760000000009</v>
      </c>
      <c r="AD163" t="str" cm="1">
        <f t="array" ref="AD163">_xlfn.IFS(K163&lt;2,"Junior (0-2 yrs)", K163&lt;5,"Mid-Level (2-5 yrs)", K163&lt;10,"Senior (5-10 yrs)", K163&gt;=10,"Expert (10+ yrs)")</f>
        <v>Junior (0-2 yrs)</v>
      </c>
    </row>
    <row r="164" spans="1:30" x14ac:dyDescent="0.3">
      <c r="A164" s="1" t="s">
        <v>1281</v>
      </c>
      <c r="B164" s="1" t="s">
        <v>1282</v>
      </c>
      <c r="C164" s="1" t="s">
        <v>124</v>
      </c>
      <c r="D164" s="1" t="s">
        <v>231</v>
      </c>
      <c r="E164" s="1" t="s">
        <v>155</v>
      </c>
      <c r="F164" s="1" t="s">
        <v>93</v>
      </c>
      <c r="G164" s="1">
        <v>38</v>
      </c>
      <c r="H164" s="1" t="s">
        <v>204</v>
      </c>
      <c r="I164" s="1" t="s">
        <v>39</v>
      </c>
      <c r="J164" s="5">
        <v>44839</v>
      </c>
      <c r="K164" s="8">
        <v>13.4</v>
      </c>
      <c r="L164" s="11">
        <v>1603320</v>
      </c>
      <c r="M164" s="12">
        <v>0.14169999999999999</v>
      </c>
      <c r="N164" s="7">
        <v>4</v>
      </c>
      <c r="O164" s="1" t="s">
        <v>76</v>
      </c>
      <c r="P164" s="1">
        <v>9380630664</v>
      </c>
      <c r="Q164" s="1" t="s">
        <v>2699</v>
      </c>
      <c r="R164" s="10">
        <v>69</v>
      </c>
      <c r="S164" s="10">
        <v>100</v>
      </c>
      <c r="T164" s="1" t="s">
        <v>115</v>
      </c>
      <c r="U164" t="str">
        <f t="shared" si="12"/>
        <v>Invalid</v>
      </c>
      <c r="V164">
        <f t="shared" si="13"/>
        <v>10</v>
      </c>
      <c r="W164" t="str">
        <f t="shared" si="14"/>
        <v>Oct</v>
      </c>
      <c r="X164">
        <f t="shared" si="15"/>
        <v>2022</v>
      </c>
      <c r="Y164">
        <f t="shared" ca="1" si="16"/>
        <v>3</v>
      </c>
      <c r="Z164" t="str" cm="1">
        <f t="array" ref="Z164">_xlfn.IFS(G164&lt;30,"20-29",G164&lt;40,"30-39",G164&lt;50,"40-49",G164&gt;=50,"50+")</f>
        <v>30-39</v>
      </c>
      <c r="AA164" t="str" cm="1">
        <f t="array" ref="AA164">_xlfn.IFS(L164&lt;500000,"Band 1: &lt;5L", L164&lt;1000000,"Band 2: 5-10L", L164&lt;1500000,"Band 3: 10-15L", L164&lt;2000000,"Band 4: 15-20L", L164&gt;=2000000,"Band 5: 20L+")</f>
        <v>Band 4: 15-20L</v>
      </c>
      <c r="AB164" t="str" cm="1">
        <f t="array" ref="AB164">_xlfn.IFS(N164=1,"Poor", N164=2,"Below Average", N164=3,"Average", N164=4,"Good", N164=5,"Excellent")</f>
        <v>Good</v>
      </c>
      <c r="AC164" s="14">
        <f t="shared" si="17"/>
        <v>227190.44399999999</v>
      </c>
      <c r="AD164" t="str" cm="1">
        <f t="array" ref="AD164">_xlfn.IFS(K164&lt;2,"Junior (0-2 yrs)", K164&lt;5,"Mid-Level (2-5 yrs)", K164&lt;10,"Senior (5-10 yrs)", K164&gt;=10,"Expert (10+ yrs)")</f>
        <v>Expert (10+ yrs)</v>
      </c>
    </row>
    <row r="165" spans="1:30" x14ac:dyDescent="0.3">
      <c r="A165" s="1" t="s">
        <v>1303</v>
      </c>
      <c r="B165" s="1" t="s">
        <v>1304</v>
      </c>
      <c r="C165" s="1" t="s">
        <v>124</v>
      </c>
      <c r="D165" s="1" t="s">
        <v>244</v>
      </c>
      <c r="E165" s="1" t="s">
        <v>290</v>
      </c>
      <c r="F165" s="1" t="s">
        <v>93</v>
      </c>
      <c r="G165" s="1">
        <v>22</v>
      </c>
      <c r="H165" s="1" t="s">
        <v>204</v>
      </c>
      <c r="I165" s="1" t="s">
        <v>51</v>
      </c>
      <c r="J165" s="5">
        <v>43661</v>
      </c>
      <c r="K165" s="8">
        <v>6</v>
      </c>
      <c r="L165" s="11">
        <v>2329392</v>
      </c>
      <c r="M165" s="12">
        <v>0.12859999999999999</v>
      </c>
      <c r="N165" s="7">
        <v>4</v>
      </c>
      <c r="O165" s="1" t="s">
        <v>76</v>
      </c>
      <c r="P165" s="1">
        <v>8889197205</v>
      </c>
      <c r="Q165" s="1" t="s">
        <v>2700</v>
      </c>
      <c r="R165" s="10">
        <v>23</v>
      </c>
      <c r="S165" s="10">
        <v>103</v>
      </c>
      <c r="T165" s="1" t="s">
        <v>865</v>
      </c>
      <c r="U165" t="str">
        <f t="shared" si="12"/>
        <v>Valid</v>
      </c>
      <c r="V165">
        <f t="shared" si="13"/>
        <v>7</v>
      </c>
      <c r="W165" t="str">
        <f t="shared" si="14"/>
        <v>Jul</v>
      </c>
      <c r="X165">
        <f t="shared" si="15"/>
        <v>2019</v>
      </c>
      <c r="Y165">
        <f t="shared" ca="1" si="16"/>
        <v>6</v>
      </c>
      <c r="Z165" t="str" cm="1">
        <f t="array" ref="Z165">_xlfn.IFS(G165&lt;30,"20-29",G165&lt;40,"30-39",G165&lt;50,"40-49",G165&gt;=50,"50+")</f>
        <v>20-29</v>
      </c>
      <c r="AA165" t="str" cm="1">
        <f t="array" ref="AA165">_xlfn.IFS(L165&lt;500000,"Band 1: &lt;5L", L165&lt;1000000,"Band 2: 5-10L", L165&lt;1500000,"Band 3: 10-15L", L165&lt;2000000,"Band 4: 15-20L", L165&gt;=2000000,"Band 5: 20L+")</f>
        <v>Band 5: 20L+</v>
      </c>
      <c r="AB165" t="str" cm="1">
        <f t="array" ref="AB165">_xlfn.IFS(N165=1,"Poor", N165=2,"Below Average", N165=3,"Average", N165=4,"Good", N165=5,"Excellent")</f>
        <v>Good</v>
      </c>
      <c r="AC165" s="14">
        <f t="shared" si="17"/>
        <v>299559.8112</v>
      </c>
      <c r="AD165" t="str" cm="1">
        <f t="array" ref="AD165">_xlfn.IFS(K165&lt;2,"Junior (0-2 yrs)", K165&lt;5,"Mid-Level (2-5 yrs)", K165&lt;10,"Senior (5-10 yrs)", K165&gt;=10,"Expert (10+ yrs)")</f>
        <v>Senior (5-10 yrs)</v>
      </c>
    </row>
    <row r="166" spans="1:30" x14ac:dyDescent="0.3">
      <c r="A166" s="1" t="s">
        <v>893</v>
      </c>
      <c r="B166" s="1" t="s">
        <v>1313</v>
      </c>
      <c r="C166" s="1" t="s">
        <v>132</v>
      </c>
      <c r="D166" s="1" t="s">
        <v>23</v>
      </c>
      <c r="E166" s="1" t="s">
        <v>60</v>
      </c>
      <c r="F166" s="1" t="s">
        <v>93</v>
      </c>
      <c r="G166" s="1">
        <v>41</v>
      </c>
      <c r="H166" s="1" t="s">
        <v>84</v>
      </c>
      <c r="I166" s="1" t="s">
        <v>74</v>
      </c>
      <c r="J166" s="5">
        <v>42272</v>
      </c>
      <c r="K166" s="8">
        <v>13.7</v>
      </c>
      <c r="L166" s="11">
        <v>2353700</v>
      </c>
      <c r="M166" s="12">
        <v>0.19390000000000002</v>
      </c>
      <c r="N166" s="7">
        <v>4</v>
      </c>
      <c r="O166" s="1" t="s">
        <v>41</v>
      </c>
      <c r="P166" s="1">
        <v>9995732958</v>
      </c>
      <c r="Q166" s="1" t="s">
        <v>2701</v>
      </c>
      <c r="R166" s="10">
        <v>60</v>
      </c>
      <c r="S166" s="10">
        <v>103</v>
      </c>
      <c r="T166" s="1" t="s">
        <v>1317</v>
      </c>
      <c r="U166" t="str">
        <f t="shared" si="12"/>
        <v>Valid</v>
      </c>
      <c r="V166">
        <f t="shared" si="13"/>
        <v>9</v>
      </c>
      <c r="W166" t="str">
        <f t="shared" si="14"/>
        <v>Sep</v>
      </c>
      <c r="X166">
        <f t="shared" si="15"/>
        <v>2015</v>
      </c>
      <c r="Y166">
        <f t="shared" ca="1" si="16"/>
        <v>10</v>
      </c>
      <c r="Z166" t="str" cm="1">
        <f t="array" ref="Z166">_xlfn.IFS(G166&lt;30,"20-29",G166&lt;40,"30-39",G166&lt;50,"40-49",G166&gt;=50,"50+")</f>
        <v>40-49</v>
      </c>
      <c r="AA166" t="str" cm="1">
        <f t="array" ref="AA166">_xlfn.IFS(L166&lt;500000,"Band 1: &lt;5L", L166&lt;1000000,"Band 2: 5-10L", L166&lt;1500000,"Band 3: 10-15L", L166&lt;2000000,"Band 4: 15-20L", L166&gt;=2000000,"Band 5: 20L+")</f>
        <v>Band 5: 20L+</v>
      </c>
      <c r="AB166" t="str" cm="1">
        <f t="array" ref="AB166">_xlfn.IFS(N166=1,"Poor", N166=2,"Below Average", N166=3,"Average", N166=4,"Good", N166=5,"Excellent")</f>
        <v>Good</v>
      </c>
      <c r="AC166" s="14">
        <f t="shared" si="17"/>
        <v>456382.43000000005</v>
      </c>
      <c r="AD166" t="str" cm="1">
        <f t="array" ref="AD166">_xlfn.IFS(K166&lt;2,"Junior (0-2 yrs)", K166&lt;5,"Mid-Level (2-5 yrs)", K166&lt;10,"Senior (5-10 yrs)", K166&gt;=10,"Expert (10+ yrs)")</f>
        <v>Expert (10+ yrs)</v>
      </c>
    </row>
    <row r="167" spans="1:30" x14ac:dyDescent="0.3">
      <c r="A167" s="1" t="s">
        <v>1049</v>
      </c>
      <c r="B167" s="1" t="s">
        <v>1318</v>
      </c>
      <c r="C167" s="1" t="s">
        <v>46</v>
      </c>
      <c r="D167" s="1" t="s">
        <v>101</v>
      </c>
      <c r="E167" s="1" t="s">
        <v>155</v>
      </c>
      <c r="F167" s="1" t="s">
        <v>93</v>
      </c>
      <c r="G167" s="1">
        <v>50</v>
      </c>
      <c r="H167" s="1" t="s">
        <v>38</v>
      </c>
      <c r="I167" s="1" t="s">
        <v>27</v>
      </c>
      <c r="J167" s="5">
        <v>43788</v>
      </c>
      <c r="K167" s="8">
        <v>4.9000000000000004</v>
      </c>
      <c r="L167" s="11">
        <v>638859</v>
      </c>
      <c r="M167" s="12">
        <v>2.4799999999999999E-2</v>
      </c>
      <c r="N167" s="7">
        <v>3</v>
      </c>
      <c r="O167" s="1" t="s">
        <v>41</v>
      </c>
      <c r="P167" s="1">
        <v>9278724262</v>
      </c>
      <c r="Q167" s="1" t="s">
        <v>2702</v>
      </c>
      <c r="R167" s="10">
        <v>70</v>
      </c>
      <c r="S167" s="10">
        <v>27</v>
      </c>
      <c r="T167" s="1" t="s">
        <v>115</v>
      </c>
      <c r="U167" t="str">
        <f t="shared" si="12"/>
        <v>Valid</v>
      </c>
      <c r="V167">
        <f t="shared" si="13"/>
        <v>11</v>
      </c>
      <c r="W167" t="str">
        <f t="shared" si="14"/>
        <v>Nov</v>
      </c>
      <c r="X167">
        <f t="shared" si="15"/>
        <v>2019</v>
      </c>
      <c r="Y167">
        <f t="shared" ca="1" si="16"/>
        <v>6</v>
      </c>
      <c r="Z167" t="str" cm="1">
        <f t="array" ref="Z167">_xlfn.IFS(G167&lt;30,"20-29",G167&lt;40,"30-39",G167&lt;50,"40-49",G167&gt;=50,"50+")</f>
        <v>50+</v>
      </c>
      <c r="AA167" t="str" cm="1">
        <f t="array" ref="AA167">_xlfn.IFS(L167&lt;500000,"Band 1: &lt;5L", L167&lt;1000000,"Band 2: 5-10L", L167&lt;1500000,"Band 3: 10-15L", L167&lt;2000000,"Band 4: 15-20L", L167&gt;=2000000,"Band 5: 20L+")</f>
        <v>Band 2: 5-10L</v>
      </c>
      <c r="AB167" t="str" cm="1">
        <f t="array" ref="AB167">_xlfn.IFS(N167=1,"Poor", N167=2,"Below Average", N167=3,"Average", N167=4,"Good", N167=5,"Excellent")</f>
        <v>Average</v>
      </c>
      <c r="AC167" s="14">
        <f t="shared" si="17"/>
        <v>15843.7032</v>
      </c>
      <c r="AD167" t="str" cm="1">
        <f t="array" ref="AD167">_xlfn.IFS(K167&lt;2,"Junior (0-2 yrs)", K167&lt;5,"Mid-Level (2-5 yrs)", K167&lt;10,"Senior (5-10 yrs)", K167&gt;=10,"Expert (10+ yrs)")</f>
        <v>Mid-Level (2-5 yrs)</v>
      </c>
    </row>
    <row r="168" spans="1:30" x14ac:dyDescent="0.3">
      <c r="A168" s="1" t="s">
        <v>1327</v>
      </c>
      <c r="B168" s="1" t="s">
        <v>1328</v>
      </c>
      <c r="C168" s="1" t="s">
        <v>58</v>
      </c>
      <c r="D168" s="1" t="s">
        <v>23</v>
      </c>
      <c r="E168" s="1" t="s">
        <v>168</v>
      </c>
      <c r="F168" s="1" t="s">
        <v>37</v>
      </c>
      <c r="G168" s="1">
        <v>40</v>
      </c>
      <c r="H168" s="1" t="s">
        <v>26</v>
      </c>
      <c r="I168" s="1" t="s">
        <v>51</v>
      </c>
      <c r="J168" s="5">
        <v>40434</v>
      </c>
      <c r="K168" s="8">
        <v>2.9</v>
      </c>
      <c r="L168" s="11">
        <v>920809</v>
      </c>
      <c r="M168" s="12">
        <v>0.16309999999999999</v>
      </c>
      <c r="N168" s="7">
        <v>3</v>
      </c>
      <c r="O168" s="1" t="s">
        <v>41</v>
      </c>
      <c r="P168" s="1">
        <v>7579265528</v>
      </c>
      <c r="Q168" s="1" t="s">
        <v>2703</v>
      </c>
      <c r="R168" s="10">
        <v>78</v>
      </c>
      <c r="S168" s="10">
        <v>67</v>
      </c>
      <c r="T168" s="1" t="s">
        <v>847</v>
      </c>
      <c r="U168" t="str">
        <f t="shared" si="12"/>
        <v>Invalid</v>
      </c>
      <c r="V168">
        <f t="shared" si="13"/>
        <v>9</v>
      </c>
      <c r="W168" t="str">
        <f t="shared" si="14"/>
        <v>Sep</v>
      </c>
      <c r="X168">
        <f t="shared" si="15"/>
        <v>2010</v>
      </c>
      <c r="Y168">
        <f t="shared" ca="1" si="16"/>
        <v>15</v>
      </c>
      <c r="Z168" t="str" cm="1">
        <f t="array" ref="Z168">_xlfn.IFS(G168&lt;30,"20-29",G168&lt;40,"30-39",G168&lt;50,"40-49",G168&gt;=50,"50+")</f>
        <v>40-49</v>
      </c>
      <c r="AA168" t="str" cm="1">
        <f t="array" ref="AA168">_xlfn.IFS(L168&lt;500000,"Band 1: &lt;5L", L168&lt;1000000,"Band 2: 5-10L", L168&lt;1500000,"Band 3: 10-15L", L168&lt;2000000,"Band 4: 15-20L", L168&gt;=2000000,"Band 5: 20L+")</f>
        <v>Band 2: 5-10L</v>
      </c>
      <c r="AB168" t="str" cm="1">
        <f t="array" ref="AB168">_xlfn.IFS(N168=1,"Poor", N168=2,"Below Average", N168=3,"Average", N168=4,"Good", N168=5,"Excellent")</f>
        <v>Average</v>
      </c>
      <c r="AC168" s="14">
        <f t="shared" si="17"/>
        <v>150183.9479</v>
      </c>
      <c r="AD168" t="str" cm="1">
        <f t="array" ref="AD168">_xlfn.IFS(K168&lt;2,"Junior (0-2 yrs)", K168&lt;5,"Mid-Level (2-5 yrs)", K168&lt;10,"Senior (5-10 yrs)", K168&gt;=10,"Expert (10+ yrs)")</f>
        <v>Mid-Level (2-5 yrs)</v>
      </c>
    </row>
    <row r="169" spans="1:30" x14ac:dyDescent="0.3">
      <c r="A169" s="1" t="s">
        <v>1332</v>
      </c>
      <c r="B169" s="1" t="s">
        <v>1333</v>
      </c>
      <c r="C169" s="1" t="s">
        <v>197</v>
      </c>
      <c r="D169" s="1" t="s">
        <v>83</v>
      </c>
      <c r="E169" s="1" t="s">
        <v>290</v>
      </c>
      <c r="F169" s="1" t="s">
        <v>37</v>
      </c>
      <c r="G169" s="1">
        <v>37</v>
      </c>
      <c r="H169" s="1" t="s">
        <v>204</v>
      </c>
      <c r="I169" s="1" t="s">
        <v>39</v>
      </c>
      <c r="J169" s="5">
        <v>44823</v>
      </c>
      <c r="K169" s="8">
        <v>22.6</v>
      </c>
      <c r="L169" s="11">
        <v>342151</v>
      </c>
      <c r="M169" s="12">
        <v>7.85E-2</v>
      </c>
      <c r="N169" s="7">
        <v>4</v>
      </c>
      <c r="O169" s="1" t="s">
        <v>41</v>
      </c>
      <c r="P169" s="1">
        <v>7243329601</v>
      </c>
      <c r="Q169" s="1" t="s">
        <v>2704</v>
      </c>
      <c r="R169" s="10">
        <v>31</v>
      </c>
      <c r="S169" s="10">
        <v>16</v>
      </c>
      <c r="T169" s="1" t="s">
        <v>309</v>
      </c>
      <c r="U169" t="str">
        <f t="shared" si="12"/>
        <v>Invalid</v>
      </c>
      <c r="V169">
        <f t="shared" si="13"/>
        <v>9</v>
      </c>
      <c r="W169" t="str">
        <f t="shared" si="14"/>
        <v>Sep</v>
      </c>
      <c r="X169">
        <f t="shared" si="15"/>
        <v>2022</v>
      </c>
      <c r="Y169">
        <f t="shared" ca="1" si="16"/>
        <v>3</v>
      </c>
      <c r="Z169" t="str" cm="1">
        <f t="array" ref="Z169">_xlfn.IFS(G169&lt;30,"20-29",G169&lt;40,"30-39",G169&lt;50,"40-49",G169&gt;=50,"50+")</f>
        <v>30-39</v>
      </c>
      <c r="AA169" t="str" cm="1">
        <f t="array" ref="AA169">_xlfn.IFS(L169&lt;500000,"Band 1: &lt;5L", L169&lt;1000000,"Band 2: 5-10L", L169&lt;1500000,"Band 3: 10-15L", L169&lt;2000000,"Band 4: 15-20L", L169&gt;=2000000,"Band 5: 20L+")</f>
        <v>Band 1: &lt;5L</v>
      </c>
      <c r="AB169" t="str" cm="1">
        <f t="array" ref="AB169">_xlfn.IFS(N169=1,"Poor", N169=2,"Below Average", N169=3,"Average", N169=4,"Good", N169=5,"Excellent")</f>
        <v>Good</v>
      </c>
      <c r="AC169" s="14">
        <f t="shared" si="17"/>
        <v>26858.853500000001</v>
      </c>
      <c r="AD169" t="str" cm="1">
        <f t="array" ref="AD169">_xlfn.IFS(K169&lt;2,"Junior (0-2 yrs)", K169&lt;5,"Mid-Level (2-5 yrs)", K169&lt;10,"Senior (5-10 yrs)", K169&gt;=10,"Expert (10+ yrs)")</f>
        <v>Expert (10+ yrs)</v>
      </c>
    </row>
    <row r="170" spans="1:30" x14ac:dyDescent="0.3">
      <c r="A170" s="1" t="s">
        <v>1337</v>
      </c>
      <c r="B170" s="1" t="s">
        <v>1338</v>
      </c>
      <c r="C170" s="1" t="s">
        <v>58</v>
      </c>
      <c r="D170" s="1" t="s">
        <v>244</v>
      </c>
      <c r="E170" s="1" t="s">
        <v>48</v>
      </c>
      <c r="F170" s="1" t="s">
        <v>37</v>
      </c>
      <c r="G170" s="1">
        <v>24</v>
      </c>
      <c r="H170" s="1" t="s">
        <v>50</v>
      </c>
      <c r="I170" s="1" t="s">
        <v>39</v>
      </c>
      <c r="J170" s="5">
        <v>41544</v>
      </c>
      <c r="K170" s="8">
        <v>26.7</v>
      </c>
      <c r="L170" s="11">
        <v>1394214</v>
      </c>
      <c r="M170" s="12">
        <v>0.20190000000000002</v>
      </c>
      <c r="N170" s="7">
        <v>1</v>
      </c>
      <c r="O170" s="1" t="s">
        <v>41</v>
      </c>
      <c r="P170" s="1">
        <v>9421743905</v>
      </c>
      <c r="Q170" s="1" t="s">
        <v>2541</v>
      </c>
      <c r="R170" s="10">
        <v>9</v>
      </c>
      <c r="S170" s="10">
        <v>76</v>
      </c>
      <c r="T170" s="1" t="s">
        <v>397</v>
      </c>
      <c r="U170" t="str">
        <f t="shared" si="12"/>
        <v>Invalid</v>
      </c>
      <c r="V170">
        <f t="shared" si="13"/>
        <v>9</v>
      </c>
      <c r="W170" t="str">
        <f t="shared" si="14"/>
        <v>Sep</v>
      </c>
      <c r="X170">
        <f t="shared" si="15"/>
        <v>2013</v>
      </c>
      <c r="Y170">
        <f t="shared" ca="1" si="16"/>
        <v>12</v>
      </c>
      <c r="Z170" t="str" cm="1">
        <f t="array" ref="Z170">_xlfn.IFS(G170&lt;30,"20-29",G170&lt;40,"30-39",G170&lt;50,"40-49",G170&gt;=50,"50+")</f>
        <v>20-29</v>
      </c>
      <c r="AA170" t="str" cm="1">
        <f t="array" ref="AA170">_xlfn.IFS(L170&lt;500000,"Band 1: &lt;5L", L170&lt;1000000,"Band 2: 5-10L", L170&lt;1500000,"Band 3: 10-15L", L170&lt;2000000,"Band 4: 15-20L", L170&gt;=2000000,"Band 5: 20L+")</f>
        <v>Band 3: 10-15L</v>
      </c>
      <c r="AB170" t="str" cm="1">
        <f t="array" ref="AB170">_xlfn.IFS(N170=1,"Poor", N170=2,"Below Average", N170=3,"Average", N170=4,"Good", N170=5,"Excellent")</f>
        <v>Poor</v>
      </c>
      <c r="AC170" s="14">
        <f t="shared" si="17"/>
        <v>281491.80660000001</v>
      </c>
      <c r="AD170" t="str" cm="1">
        <f t="array" ref="AD170">_xlfn.IFS(K170&lt;2,"Junior (0-2 yrs)", K170&lt;5,"Mid-Level (2-5 yrs)", K170&lt;10,"Senior (5-10 yrs)", K170&gt;=10,"Expert (10+ yrs)")</f>
        <v>Expert (10+ yrs)</v>
      </c>
    </row>
    <row r="171" spans="1:30" x14ac:dyDescent="0.3">
      <c r="A171" s="1" t="s">
        <v>1347</v>
      </c>
      <c r="B171" s="1" t="s">
        <v>1348</v>
      </c>
      <c r="C171" s="1" t="s">
        <v>58</v>
      </c>
      <c r="D171" s="1" t="s">
        <v>101</v>
      </c>
      <c r="E171" s="1" t="s">
        <v>48</v>
      </c>
      <c r="F171" s="1" t="s">
        <v>93</v>
      </c>
      <c r="G171" s="1">
        <v>35</v>
      </c>
      <c r="H171" s="1" t="s">
        <v>84</v>
      </c>
      <c r="I171" s="1" t="s">
        <v>198</v>
      </c>
      <c r="J171" s="5">
        <v>42758</v>
      </c>
      <c r="K171" s="8">
        <v>28.1</v>
      </c>
      <c r="L171" s="11">
        <v>957328</v>
      </c>
      <c r="M171" s="12">
        <v>0.14380000000000001</v>
      </c>
      <c r="N171" s="7">
        <v>5</v>
      </c>
      <c r="O171" s="1" t="s">
        <v>41</v>
      </c>
      <c r="P171" s="1">
        <v>9923284290</v>
      </c>
      <c r="Q171" s="1" t="s">
        <v>2705</v>
      </c>
      <c r="R171" s="10">
        <v>19</v>
      </c>
      <c r="S171" s="10">
        <v>59</v>
      </c>
      <c r="T171" s="1" t="s">
        <v>847</v>
      </c>
      <c r="U171" t="str">
        <f t="shared" si="12"/>
        <v>Invalid</v>
      </c>
      <c r="V171">
        <f t="shared" si="13"/>
        <v>1</v>
      </c>
      <c r="W171" t="str">
        <f t="shared" si="14"/>
        <v>Jan</v>
      </c>
      <c r="X171">
        <f t="shared" si="15"/>
        <v>2017</v>
      </c>
      <c r="Y171">
        <f t="shared" ca="1" si="16"/>
        <v>9</v>
      </c>
      <c r="Z171" t="str" cm="1">
        <f t="array" ref="Z171">_xlfn.IFS(G171&lt;30,"20-29",G171&lt;40,"30-39",G171&lt;50,"40-49",G171&gt;=50,"50+")</f>
        <v>30-39</v>
      </c>
      <c r="AA171" t="str" cm="1">
        <f t="array" ref="AA171">_xlfn.IFS(L171&lt;500000,"Band 1: &lt;5L", L171&lt;1000000,"Band 2: 5-10L", L171&lt;1500000,"Band 3: 10-15L", L171&lt;2000000,"Band 4: 15-20L", L171&gt;=2000000,"Band 5: 20L+")</f>
        <v>Band 2: 5-10L</v>
      </c>
      <c r="AB171" t="str" cm="1">
        <f t="array" ref="AB171">_xlfn.IFS(N171=1,"Poor", N171=2,"Below Average", N171=3,"Average", N171=4,"Good", N171=5,"Excellent")</f>
        <v>Excellent</v>
      </c>
      <c r="AC171" s="14">
        <f t="shared" si="17"/>
        <v>137663.76640000002</v>
      </c>
      <c r="AD171" t="str" cm="1">
        <f t="array" ref="AD171">_xlfn.IFS(K171&lt;2,"Junior (0-2 yrs)", K171&lt;5,"Mid-Level (2-5 yrs)", K171&lt;10,"Senior (5-10 yrs)", K171&gt;=10,"Expert (10+ yrs)")</f>
        <v>Expert (10+ yrs)</v>
      </c>
    </row>
    <row r="172" spans="1:30" x14ac:dyDescent="0.3">
      <c r="A172" s="1" t="s">
        <v>1352</v>
      </c>
      <c r="B172" s="1" t="s">
        <v>1353</v>
      </c>
      <c r="C172" s="1" t="s">
        <v>197</v>
      </c>
      <c r="D172" s="1" t="s">
        <v>23</v>
      </c>
      <c r="E172" s="1" t="s">
        <v>60</v>
      </c>
      <c r="F172" s="1" t="s">
        <v>37</v>
      </c>
      <c r="G172" s="1">
        <v>33</v>
      </c>
      <c r="H172" s="1" t="s">
        <v>204</v>
      </c>
      <c r="I172" s="1" t="s">
        <v>39</v>
      </c>
      <c r="J172" s="5">
        <v>41148</v>
      </c>
      <c r="K172" s="8">
        <v>10.8</v>
      </c>
      <c r="L172" s="11">
        <v>1637588</v>
      </c>
      <c r="M172" s="12">
        <v>0.2127</v>
      </c>
      <c r="N172" s="7">
        <v>4</v>
      </c>
      <c r="O172" s="1" t="s">
        <v>41</v>
      </c>
      <c r="P172" s="1">
        <v>7124393191</v>
      </c>
      <c r="Q172" s="1" t="s">
        <v>2706</v>
      </c>
      <c r="R172" s="10">
        <v>71</v>
      </c>
      <c r="S172" s="10">
        <v>33</v>
      </c>
      <c r="T172" s="1" t="s">
        <v>1357</v>
      </c>
      <c r="U172" t="str">
        <f t="shared" si="12"/>
        <v>Invalid</v>
      </c>
      <c r="V172">
        <f t="shared" si="13"/>
        <v>8</v>
      </c>
      <c r="W172" t="str">
        <f t="shared" si="14"/>
        <v>Aug</v>
      </c>
      <c r="X172">
        <f t="shared" si="15"/>
        <v>2012</v>
      </c>
      <c r="Y172">
        <f t="shared" ca="1" si="16"/>
        <v>13</v>
      </c>
      <c r="Z172" t="str" cm="1">
        <f t="array" ref="Z172">_xlfn.IFS(G172&lt;30,"20-29",G172&lt;40,"30-39",G172&lt;50,"40-49",G172&gt;=50,"50+")</f>
        <v>30-39</v>
      </c>
      <c r="AA172" t="str" cm="1">
        <f t="array" ref="AA172">_xlfn.IFS(L172&lt;500000,"Band 1: &lt;5L", L172&lt;1000000,"Band 2: 5-10L", L172&lt;1500000,"Band 3: 10-15L", L172&lt;2000000,"Band 4: 15-20L", L172&gt;=2000000,"Band 5: 20L+")</f>
        <v>Band 4: 15-20L</v>
      </c>
      <c r="AB172" t="str" cm="1">
        <f t="array" ref="AB172">_xlfn.IFS(N172=1,"Poor", N172=2,"Below Average", N172=3,"Average", N172=4,"Good", N172=5,"Excellent")</f>
        <v>Good</v>
      </c>
      <c r="AC172" s="14">
        <f t="shared" si="17"/>
        <v>348314.96759999997</v>
      </c>
      <c r="AD172" t="str" cm="1">
        <f t="array" ref="AD172">_xlfn.IFS(K172&lt;2,"Junior (0-2 yrs)", K172&lt;5,"Mid-Level (2-5 yrs)", K172&lt;10,"Senior (5-10 yrs)", K172&gt;=10,"Expert (10+ yrs)")</f>
        <v>Expert (10+ yrs)</v>
      </c>
    </row>
    <row r="173" spans="1:30" x14ac:dyDescent="0.3">
      <c r="A173" s="1" t="s">
        <v>1367</v>
      </c>
      <c r="B173" s="1" t="s">
        <v>1368</v>
      </c>
      <c r="C173" s="1" t="s">
        <v>69</v>
      </c>
      <c r="D173" s="1" t="s">
        <v>244</v>
      </c>
      <c r="E173" s="1" t="s">
        <v>175</v>
      </c>
      <c r="F173" s="1" t="s">
        <v>37</v>
      </c>
      <c r="G173" s="1">
        <v>43</v>
      </c>
      <c r="H173" s="1" t="s">
        <v>26</v>
      </c>
      <c r="I173" s="1" t="s">
        <v>27</v>
      </c>
      <c r="J173" s="5">
        <v>44048</v>
      </c>
      <c r="K173" s="8">
        <v>27.3</v>
      </c>
      <c r="L173" s="11">
        <v>353474</v>
      </c>
      <c r="M173" s="12">
        <v>7.400000000000001E-2</v>
      </c>
      <c r="N173" s="7">
        <v>4</v>
      </c>
      <c r="O173" s="1" t="s">
        <v>41</v>
      </c>
      <c r="P173" s="1">
        <v>8099048201</v>
      </c>
      <c r="Q173" s="1" t="s">
        <v>2542</v>
      </c>
      <c r="R173" s="10">
        <v>12</v>
      </c>
      <c r="S173" s="10">
        <v>111</v>
      </c>
      <c r="T173" s="1" t="s">
        <v>129</v>
      </c>
      <c r="U173" t="str">
        <f t="shared" si="12"/>
        <v>Invalid</v>
      </c>
      <c r="V173">
        <f t="shared" si="13"/>
        <v>8</v>
      </c>
      <c r="W173" t="str">
        <f t="shared" si="14"/>
        <v>Aug</v>
      </c>
      <c r="X173">
        <f t="shared" si="15"/>
        <v>2020</v>
      </c>
      <c r="Y173">
        <f t="shared" ca="1" si="16"/>
        <v>5</v>
      </c>
      <c r="Z173" t="str" cm="1">
        <f t="array" ref="Z173">_xlfn.IFS(G173&lt;30,"20-29",G173&lt;40,"30-39",G173&lt;50,"40-49",G173&gt;=50,"50+")</f>
        <v>40-49</v>
      </c>
      <c r="AA173" t="str" cm="1">
        <f t="array" ref="AA173">_xlfn.IFS(L173&lt;500000,"Band 1: &lt;5L", L173&lt;1000000,"Band 2: 5-10L", L173&lt;1500000,"Band 3: 10-15L", L173&lt;2000000,"Band 4: 15-20L", L173&gt;=2000000,"Band 5: 20L+")</f>
        <v>Band 1: &lt;5L</v>
      </c>
      <c r="AB173" t="str" cm="1">
        <f t="array" ref="AB173">_xlfn.IFS(N173=1,"Poor", N173=2,"Below Average", N173=3,"Average", N173=4,"Good", N173=5,"Excellent")</f>
        <v>Good</v>
      </c>
      <c r="AC173" s="14">
        <f t="shared" si="17"/>
        <v>26157.076000000005</v>
      </c>
      <c r="AD173" t="str" cm="1">
        <f t="array" ref="AD173">_xlfn.IFS(K173&lt;2,"Junior (0-2 yrs)", K173&lt;5,"Mid-Level (2-5 yrs)", K173&lt;10,"Senior (5-10 yrs)", K173&gt;=10,"Expert (10+ yrs)")</f>
        <v>Expert (10+ yrs)</v>
      </c>
    </row>
    <row r="174" spans="1:30" x14ac:dyDescent="0.3">
      <c r="A174" s="1" t="s">
        <v>1377</v>
      </c>
      <c r="B174" s="1" t="s">
        <v>283</v>
      </c>
      <c r="C174" s="1" t="s">
        <v>110</v>
      </c>
      <c r="D174" s="1" t="s">
        <v>244</v>
      </c>
      <c r="E174" s="1" t="s">
        <v>60</v>
      </c>
      <c r="F174" s="1" t="s">
        <v>93</v>
      </c>
      <c r="G174" s="1">
        <v>30</v>
      </c>
      <c r="H174" s="1" t="s">
        <v>26</v>
      </c>
      <c r="I174" s="1" t="s">
        <v>39</v>
      </c>
      <c r="J174" s="5">
        <v>43966</v>
      </c>
      <c r="K174" s="8">
        <v>3.2</v>
      </c>
      <c r="L174" s="11">
        <v>2319871</v>
      </c>
      <c r="M174" s="12">
        <v>0.2218</v>
      </c>
      <c r="N174" s="7">
        <v>4</v>
      </c>
      <c r="O174" s="1" t="s">
        <v>76</v>
      </c>
      <c r="P174" s="1">
        <v>7829161660</v>
      </c>
      <c r="Q174" s="1" t="s">
        <v>2707</v>
      </c>
      <c r="R174" s="10">
        <v>50</v>
      </c>
      <c r="S174" s="10">
        <v>101</v>
      </c>
      <c r="T174" s="1" t="s">
        <v>213</v>
      </c>
      <c r="U174" t="str">
        <f t="shared" si="12"/>
        <v>Invalid</v>
      </c>
      <c r="V174">
        <f t="shared" si="13"/>
        <v>5</v>
      </c>
      <c r="W174" t="str">
        <f t="shared" si="14"/>
        <v>May</v>
      </c>
      <c r="X174">
        <f t="shared" si="15"/>
        <v>2020</v>
      </c>
      <c r="Y174">
        <f t="shared" ca="1" si="16"/>
        <v>5</v>
      </c>
      <c r="Z174" t="str" cm="1">
        <f t="array" ref="Z174">_xlfn.IFS(G174&lt;30,"20-29",G174&lt;40,"30-39",G174&lt;50,"40-49",G174&gt;=50,"50+")</f>
        <v>30-39</v>
      </c>
      <c r="AA174" t="str" cm="1">
        <f t="array" ref="AA174">_xlfn.IFS(L174&lt;500000,"Band 1: &lt;5L", L174&lt;1000000,"Band 2: 5-10L", L174&lt;1500000,"Band 3: 10-15L", L174&lt;2000000,"Band 4: 15-20L", L174&gt;=2000000,"Band 5: 20L+")</f>
        <v>Band 5: 20L+</v>
      </c>
      <c r="AB174" t="str" cm="1">
        <f t="array" ref="AB174">_xlfn.IFS(N174=1,"Poor", N174=2,"Below Average", N174=3,"Average", N174=4,"Good", N174=5,"Excellent")</f>
        <v>Good</v>
      </c>
      <c r="AC174" s="14">
        <f t="shared" si="17"/>
        <v>514547.38779999997</v>
      </c>
      <c r="AD174" t="str" cm="1">
        <f t="array" ref="AD174">_xlfn.IFS(K174&lt;2,"Junior (0-2 yrs)", K174&lt;5,"Mid-Level (2-5 yrs)", K174&lt;10,"Senior (5-10 yrs)", K174&gt;=10,"Expert (10+ yrs)")</f>
        <v>Mid-Level (2-5 yrs)</v>
      </c>
    </row>
    <row r="175" spans="1:30" x14ac:dyDescent="0.3">
      <c r="A175" s="1" t="s">
        <v>1381</v>
      </c>
      <c r="B175" s="1" t="s">
        <v>1382</v>
      </c>
      <c r="C175" s="1" t="s">
        <v>46</v>
      </c>
      <c r="D175" s="1" t="s">
        <v>23</v>
      </c>
      <c r="E175" s="1" t="s">
        <v>155</v>
      </c>
      <c r="F175" s="1" t="s">
        <v>93</v>
      </c>
      <c r="G175" s="1">
        <v>32</v>
      </c>
      <c r="H175" s="1" t="s">
        <v>84</v>
      </c>
      <c r="I175" s="1" t="s">
        <v>198</v>
      </c>
      <c r="J175" s="5">
        <v>41241</v>
      </c>
      <c r="K175" s="8">
        <v>24.2</v>
      </c>
      <c r="L175" s="11">
        <v>422229</v>
      </c>
      <c r="M175" s="12">
        <v>0.1018</v>
      </c>
      <c r="N175" s="7">
        <v>1</v>
      </c>
      <c r="O175" s="1" t="s">
        <v>41</v>
      </c>
      <c r="P175" s="1">
        <v>8348210721</v>
      </c>
      <c r="Q175" s="1" t="s">
        <v>2708</v>
      </c>
      <c r="R175" s="10">
        <v>11</v>
      </c>
      <c r="S175" s="10">
        <v>107</v>
      </c>
      <c r="T175" s="1" t="s">
        <v>528</v>
      </c>
      <c r="U175" t="str">
        <f t="shared" si="12"/>
        <v>Invalid</v>
      </c>
      <c r="V175">
        <f t="shared" si="13"/>
        <v>11</v>
      </c>
      <c r="W175" t="str">
        <f t="shared" si="14"/>
        <v>Nov</v>
      </c>
      <c r="X175">
        <f t="shared" si="15"/>
        <v>2012</v>
      </c>
      <c r="Y175">
        <f t="shared" ca="1" si="16"/>
        <v>13</v>
      </c>
      <c r="Z175" t="str" cm="1">
        <f t="array" ref="Z175">_xlfn.IFS(G175&lt;30,"20-29",G175&lt;40,"30-39",G175&lt;50,"40-49",G175&gt;=50,"50+")</f>
        <v>30-39</v>
      </c>
      <c r="AA175" t="str" cm="1">
        <f t="array" ref="AA175">_xlfn.IFS(L175&lt;500000,"Band 1: &lt;5L", L175&lt;1000000,"Band 2: 5-10L", L175&lt;1500000,"Band 3: 10-15L", L175&lt;2000000,"Band 4: 15-20L", L175&gt;=2000000,"Band 5: 20L+")</f>
        <v>Band 1: &lt;5L</v>
      </c>
      <c r="AB175" t="str" cm="1">
        <f t="array" ref="AB175">_xlfn.IFS(N175=1,"Poor", N175=2,"Below Average", N175=3,"Average", N175=4,"Good", N175=5,"Excellent")</f>
        <v>Poor</v>
      </c>
      <c r="AC175" s="14">
        <f t="shared" si="17"/>
        <v>42982.912199999999</v>
      </c>
      <c r="AD175" t="str" cm="1">
        <f t="array" ref="AD175">_xlfn.IFS(K175&lt;2,"Junior (0-2 yrs)", K175&lt;5,"Mid-Level (2-5 yrs)", K175&lt;10,"Senior (5-10 yrs)", K175&gt;=10,"Expert (10+ yrs)")</f>
        <v>Expert (10+ yrs)</v>
      </c>
    </row>
    <row r="176" spans="1:30" x14ac:dyDescent="0.3">
      <c r="A176" s="1" t="s">
        <v>1386</v>
      </c>
      <c r="B176" s="1" t="s">
        <v>1387</v>
      </c>
      <c r="C176" s="1" t="s">
        <v>69</v>
      </c>
      <c r="D176" s="1" t="s">
        <v>83</v>
      </c>
      <c r="E176" s="1" t="s">
        <v>60</v>
      </c>
      <c r="F176" s="1" t="s">
        <v>37</v>
      </c>
      <c r="G176" s="1">
        <v>33</v>
      </c>
      <c r="H176" s="1" t="s">
        <v>103</v>
      </c>
      <c r="I176" s="1" t="s">
        <v>27</v>
      </c>
      <c r="J176" s="5">
        <v>45436</v>
      </c>
      <c r="K176" s="8">
        <v>10.8</v>
      </c>
      <c r="L176" s="11">
        <v>2290542</v>
      </c>
      <c r="M176" s="12">
        <v>5.3600000000000002E-2</v>
      </c>
      <c r="N176" s="7">
        <v>2</v>
      </c>
      <c r="O176" s="1" t="s">
        <v>76</v>
      </c>
      <c r="P176" s="1">
        <v>7213249628</v>
      </c>
      <c r="Q176" s="1" t="s">
        <v>2709</v>
      </c>
      <c r="R176" s="10">
        <v>28</v>
      </c>
      <c r="S176" s="10">
        <v>34</v>
      </c>
      <c r="T176" s="1" t="s">
        <v>938</v>
      </c>
      <c r="U176" t="str">
        <f t="shared" si="12"/>
        <v>Valid</v>
      </c>
      <c r="V176">
        <f t="shared" si="13"/>
        <v>5</v>
      </c>
      <c r="W176" t="str">
        <f t="shared" si="14"/>
        <v>May</v>
      </c>
      <c r="X176">
        <f t="shared" si="15"/>
        <v>2024</v>
      </c>
      <c r="Y176">
        <f t="shared" ca="1" si="16"/>
        <v>1</v>
      </c>
      <c r="Z176" t="str" cm="1">
        <f t="array" ref="Z176">_xlfn.IFS(G176&lt;30,"20-29",G176&lt;40,"30-39",G176&lt;50,"40-49",G176&gt;=50,"50+")</f>
        <v>30-39</v>
      </c>
      <c r="AA176" t="str" cm="1">
        <f t="array" ref="AA176">_xlfn.IFS(L176&lt;500000,"Band 1: &lt;5L", L176&lt;1000000,"Band 2: 5-10L", L176&lt;1500000,"Band 3: 10-15L", L176&lt;2000000,"Band 4: 15-20L", L176&gt;=2000000,"Band 5: 20L+")</f>
        <v>Band 5: 20L+</v>
      </c>
      <c r="AB176" t="str" cm="1">
        <f t="array" ref="AB176">_xlfn.IFS(N176=1,"Poor", N176=2,"Below Average", N176=3,"Average", N176=4,"Good", N176=5,"Excellent")</f>
        <v>Below Average</v>
      </c>
      <c r="AC176" s="14">
        <f t="shared" si="17"/>
        <v>122773.0512</v>
      </c>
      <c r="AD176" t="str" cm="1">
        <f t="array" ref="AD176">_xlfn.IFS(K176&lt;2,"Junior (0-2 yrs)", K176&lt;5,"Mid-Level (2-5 yrs)", K176&lt;10,"Senior (5-10 yrs)", K176&gt;=10,"Expert (10+ yrs)")</f>
        <v>Expert (10+ yrs)</v>
      </c>
    </row>
    <row r="177" spans="1:30" x14ac:dyDescent="0.3">
      <c r="A177" s="1" t="s">
        <v>152</v>
      </c>
      <c r="B177" s="1" t="s">
        <v>1396</v>
      </c>
      <c r="C177" s="1" t="s">
        <v>69</v>
      </c>
      <c r="D177" s="1" t="s">
        <v>244</v>
      </c>
      <c r="E177" s="1" t="s">
        <v>92</v>
      </c>
      <c r="F177" s="1" t="s">
        <v>37</v>
      </c>
      <c r="G177" s="1">
        <v>50</v>
      </c>
      <c r="H177" s="1" t="s">
        <v>62</v>
      </c>
      <c r="I177" s="1" t="s">
        <v>198</v>
      </c>
      <c r="J177" s="5">
        <v>42020</v>
      </c>
      <c r="K177" s="8">
        <v>17.899999999999999</v>
      </c>
      <c r="L177" s="11">
        <v>2242227</v>
      </c>
      <c r="M177" s="12">
        <v>7.8E-2</v>
      </c>
      <c r="N177" s="7">
        <v>3</v>
      </c>
      <c r="O177" s="1" t="s">
        <v>41</v>
      </c>
      <c r="P177" s="1">
        <v>7498513988</v>
      </c>
      <c r="Q177" s="1" t="s">
        <v>2710</v>
      </c>
      <c r="R177" s="10">
        <v>26</v>
      </c>
      <c r="S177" s="10">
        <v>44</v>
      </c>
      <c r="T177" s="1" t="s">
        <v>66</v>
      </c>
      <c r="U177" t="str">
        <f t="shared" si="12"/>
        <v>Valid</v>
      </c>
      <c r="V177">
        <f t="shared" si="13"/>
        <v>1</v>
      </c>
      <c r="W177" t="str">
        <f t="shared" si="14"/>
        <v>Jan</v>
      </c>
      <c r="X177">
        <f t="shared" si="15"/>
        <v>2015</v>
      </c>
      <c r="Y177">
        <f t="shared" ca="1" si="16"/>
        <v>11</v>
      </c>
      <c r="Z177" t="str" cm="1">
        <f t="array" ref="Z177">_xlfn.IFS(G177&lt;30,"20-29",G177&lt;40,"30-39",G177&lt;50,"40-49",G177&gt;=50,"50+")</f>
        <v>50+</v>
      </c>
      <c r="AA177" t="str" cm="1">
        <f t="array" ref="AA177">_xlfn.IFS(L177&lt;500000,"Band 1: &lt;5L", L177&lt;1000000,"Band 2: 5-10L", L177&lt;1500000,"Band 3: 10-15L", L177&lt;2000000,"Band 4: 15-20L", L177&gt;=2000000,"Band 5: 20L+")</f>
        <v>Band 5: 20L+</v>
      </c>
      <c r="AB177" t="str" cm="1">
        <f t="array" ref="AB177">_xlfn.IFS(N177=1,"Poor", N177=2,"Below Average", N177=3,"Average", N177=4,"Good", N177=5,"Excellent")</f>
        <v>Average</v>
      </c>
      <c r="AC177" s="14">
        <f t="shared" si="17"/>
        <v>174893.70600000001</v>
      </c>
      <c r="AD177" t="str" cm="1">
        <f t="array" ref="AD177">_xlfn.IFS(K177&lt;2,"Junior (0-2 yrs)", K177&lt;5,"Mid-Level (2-5 yrs)", K177&lt;10,"Senior (5-10 yrs)", K177&gt;=10,"Expert (10+ yrs)")</f>
        <v>Expert (10+ yrs)</v>
      </c>
    </row>
    <row r="178" spans="1:30" x14ac:dyDescent="0.3">
      <c r="A178" s="1" t="s">
        <v>1400</v>
      </c>
      <c r="B178" s="1" t="s">
        <v>1401</v>
      </c>
      <c r="C178" s="1" t="s">
        <v>69</v>
      </c>
      <c r="D178" s="1" t="s">
        <v>23</v>
      </c>
      <c r="E178" s="1" t="s">
        <v>92</v>
      </c>
      <c r="F178" s="1" t="s">
        <v>93</v>
      </c>
      <c r="G178" s="1">
        <v>44</v>
      </c>
      <c r="H178" s="1" t="s">
        <v>26</v>
      </c>
      <c r="I178" s="1" t="s">
        <v>51</v>
      </c>
      <c r="J178" s="5">
        <v>43174</v>
      </c>
      <c r="K178" s="8">
        <v>14.7</v>
      </c>
      <c r="L178" s="11">
        <v>1747170</v>
      </c>
      <c r="M178" s="12">
        <v>0.17929999999999999</v>
      </c>
      <c r="N178" s="7">
        <v>2</v>
      </c>
      <c r="O178" s="1" t="s">
        <v>41</v>
      </c>
      <c r="P178" s="1">
        <v>7908459040</v>
      </c>
      <c r="Q178" s="1" t="s">
        <v>2711</v>
      </c>
      <c r="R178" s="10">
        <v>29</v>
      </c>
      <c r="S178" s="10">
        <v>42</v>
      </c>
      <c r="T178" s="1" t="s">
        <v>528</v>
      </c>
      <c r="U178" t="str">
        <f t="shared" si="12"/>
        <v>Invalid</v>
      </c>
      <c r="V178">
        <f t="shared" si="13"/>
        <v>3</v>
      </c>
      <c r="W178" t="str">
        <f t="shared" si="14"/>
        <v>Mar</v>
      </c>
      <c r="X178">
        <f t="shared" si="15"/>
        <v>2018</v>
      </c>
      <c r="Y178">
        <f t="shared" ca="1" si="16"/>
        <v>8</v>
      </c>
      <c r="Z178" t="str" cm="1">
        <f t="array" ref="Z178">_xlfn.IFS(G178&lt;30,"20-29",G178&lt;40,"30-39",G178&lt;50,"40-49",G178&gt;=50,"50+")</f>
        <v>40-49</v>
      </c>
      <c r="AA178" t="str" cm="1">
        <f t="array" ref="AA178">_xlfn.IFS(L178&lt;500000,"Band 1: &lt;5L", L178&lt;1000000,"Band 2: 5-10L", L178&lt;1500000,"Band 3: 10-15L", L178&lt;2000000,"Band 4: 15-20L", L178&gt;=2000000,"Band 5: 20L+")</f>
        <v>Band 4: 15-20L</v>
      </c>
      <c r="AB178" t="str" cm="1">
        <f t="array" ref="AB178">_xlfn.IFS(N178=1,"Poor", N178=2,"Below Average", N178=3,"Average", N178=4,"Good", N178=5,"Excellent")</f>
        <v>Below Average</v>
      </c>
      <c r="AC178" s="14">
        <f t="shared" si="17"/>
        <v>313267.58100000001</v>
      </c>
      <c r="AD178" t="str" cm="1">
        <f t="array" ref="AD178">_xlfn.IFS(K178&lt;2,"Junior (0-2 yrs)", K178&lt;5,"Mid-Level (2-5 yrs)", K178&lt;10,"Senior (5-10 yrs)", K178&gt;=10,"Expert (10+ yrs)")</f>
        <v>Expert (10+ yrs)</v>
      </c>
    </row>
    <row r="179" spans="1:30" x14ac:dyDescent="0.3">
      <c r="A179" s="1" t="s">
        <v>1405</v>
      </c>
      <c r="B179" s="1" t="s">
        <v>1406</v>
      </c>
      <c r="C179" s="1" t="s">
        <v>69</v>
      </c>
      <c r="D179" s="1" t="s">
        <v>244</v>
      </c>
      <c r="E179" s="1" t="s">
        <v>189</v>
      </c>
      <c r="F179" s="1" t="s">
        <v>93</v>
      </c>
      <c r="G179" s="1">
        <v>35</v>
      </c>
      <c r="H179" s="1" t="s">
        <v>84</v>
      </c>
      <c r="I179" s="1" t="s">
        <v>51</v>
      </c>
      <c r="J179" s="5">
        <v>42897</v>
      </c>
      <c r="K179" s="8">
        <v>3.5</v>
      </c>
      <c r="L179" s="11">
        <v>1475073</v>
      </c>
      <c r="M179" s="12">
        <v>0.1857</v>
      </c>
      <c r="N179" s="7">
        <v>2</v>
      </c>
      <c r="O179" s="1" t="s">
        <v>76</v>
      </c>
      <c r="P179" s="1">
        <v>7559668981</v>
      </c>
      <c r="Q179" s="1" t="s">
        <v>2712</v>
      </c>
      <c r="R179" s="10">
        <v>77</v>
      </c>
      <c r="S179" s="10">
        <v>83</v>
      </c>
      <c r="T179" s="1" t="s">
        <v>138</v>
      </c>
      <c r="U179" t="str">
        <f t="shared" si="12"/>
        <v>Valid</v>
      </c>
      <c r="V179">
        <f t="shared" si="13"/>
        <v>6</v>
      </c>
      <c r="W179" t="str">
        <f t="shared" si="14"/>
        <v>Jun</v>
      </c>
      <c r="X179">
        <f t="shared" si="15"/>
        <v>2017</v>
      </c>
      <c r="Y179">
        <f t="shared" ca="1" si="16"/>
        <v>8</v>
      </c>
      <c r="Z179" t="str" cm="1">
        <f t="array" ref="Z179">_xlfn.IFS(G179&lt;30,"20-29",G179&lt;40,"30-39",G179&lt;50,"40-49",G179&gt;=50,"50+")</f>
        <v>30-39</v>
      </c>
      <c r="AA179" t="str" cm="1">
        <f t="array" ref="AA179">_xlfn.IFS(L179&lt;500000,"Band 1: &lt;5L", L179&lt;1000000,"Band 2: 5-10L", L179&lt;1500000,"Band 3: 10-15L", L179&lt;2000000,"Band 4: 15-20L", L179&gt;=2000000,"Band 5: 20L+")</f>
        <v>Band 3: 10-15L</v>
      </c>
      <c r="AB179" t="str" cm="1">
        <f t="array" ref="AB179">_xlfn.IFS(N179=1,"Poor", N179=2,"Below Average", N179=3,"Average", N179=4,"Good", N179=5,"Excellent")</f>
        <v>Below Average</v>
      </c>
      <c r="AC179" s="14">
        <f t="shared" si="17"/>
        <v>273921.05609999999</v>
      </c>
      <c r="AD179" t="str" cm="1">
        <f t="array" ref="AD179">_xlfn.IFS(K179&lt;2,"Junior (0-2 yrs)", K179&lt;5,"Mid-Level (2-5 yrs)", K179&lt;10,"Senior (5-10 yrs)", K179&gt;=10,"Expert (10+ yrs)")</f>
        <v>Mid-Level (2-5 yrs)</v>
      </c>
    </row>
    <row r="180" spans="1:30" x14ac:dyDescent="0.3">
      <c r="A180" s="1" t="s">
        <v>1422</v>
      </c>
      <c r="B180" s="1" t="s">
        <v>1423</v>
      </c>
      <c r="C180" s="1" t="s">
        <v>124</v>
      </c>
      <c r="D180" s="1" t="s">
        <v>83</v>
      </c>
      <c r="E180" s="1" t="s">
        <v>92</v>
      </c>
      <c r="F180" s="1" t="s">
        <v>37</v>
      </c>
      <c r="G180" s="1">
        <v>48</v>
      </c>
      <c r="H180" s="1" t="s">
        <v>204</v>
      </c>
      <c r="I180" s="1" t="s">
        <v>39</v>
      </c>
      <c r="J180" s="5">
        <v>45394</v>
      </c>
      <c r="K180" s="8">
        <v>8.1999999999999993</v>
      </c>
      <c r="L180" s="11">
        <v>420683</v>
      </c>
      <c r="M180" s="12">
        <v>5.3099999999999994E-2</v>
      </c>
      <c r="N180" s="7">
        <v>4</v>
      </c>
      <c r="O180" s="1" t="s">
        <v>41</v>
      </c>
      <c r="P180" s="1">
        <v>7572110839</v>
      </c>
      <c r="Q180" s="1" t="s">
        <v>2713</v>
      </c>
      <c r="R180" s="10">
        <v>54</v>
      </c>
      <c r="S180" s="10">
        <v>32</v>
      </c>
      <c r="T180" s="1" t="s">
        <v>559</v>
      </c>
      <c r="U180" t="str">
        <f t="shared" si="12"/>
        <v>Invalid</v>
      </c>
      <c r="V180">
        <f t="shared" si="13"/>
        <v>4</v>
      </c>
      <c r="W180" t="str">
        <f t="shared" si="14"/>
        <v>Apr</v>
      </c>
      <c r="X180">
        <f t="shared" si="15"/>
        <v>2024</v>
      </c>
      <c r="Y180">
        <f t="shared" ca="1" si="16"/>
        <v>1</v>
      </c>
      <c r="Z180" t="str" cm="1">
        <f t="array" ref="Z180">_xlfn.IFS(G180&lt;30,"20-29",G180&lt;40,"30-39",G180&lt;50,"40-49",G180&gt;=50,"50+")</f>
        <v>40-49</v>
      </c>
      <c r="AA180" t="str" cm="1">
        <f t="array" ref="AA180">_xlfn.IFS(L180&lt;500000,"Band 1: &lt;5L", L180&lt;1000000,"Band 2: 5-10L", L180&lt;1500000,"Band 3: 10-15L", L180&lt;2000000,"Band 4: 15-20L", L180&gt;=2000000,"Band 5: 20L+")</f>
        <v>Band 1: &lt;5L</v>
      </c>
      <c r="AB180" t="str" cm="1">
        <f t="array" ref="AB180">_xlfn.IFS(N180=1,"Poor", N180=2,"Below Average", N180=3,"Average", N180=4,"Good", N180=5,"Excellent")</f>
        <v>Good</v>
      </c>
      <c r="AC180" s="14">
        <f t="shared" si="17"/>
        <v>22338.267299999996</v>
      </c>
      <c r="AD180" t="str" cm="1">
        <f t="array" ref="AD180">_xlfn.IFS(K180&lt;2,"Junior (0-2 yrs)", K180&lt;5,"Mid-Level (2-5 yrs)", K180&lt;10,"Senior (5-10 yrs)", K180&gt;=10,"Expert (10+ yrs)")</f>
        <v>Senior (5-10 yrs)</v>
      </c>
    </row>
    <row r="181" spans="1:30" x14ac:dyDescent="0.3">
      <c r="A181" s="1" t="s">
        <v>1427</v>
      </c>
      <c r="B181" s="1" t="s">
        <v>1428</v>
      </c>
      <c r="C181" s="1" t="s">
        <v>110</v>
      </c>
      <c r="D181" s="1" t="s">
        <v>231</v>
      </c>
      <c r="E181" s="1" t="s">
        <v>60</v>
      </c>
      <c r="F181" s="1" t="s">
        <v>93</v>
      </c>
      <c r="G181" s="1">
        <v>34</v>
      </c>
      <c r="H181" s="1" t="s">
        <v>50</v>
      </c>
      <c r="I181" s="1" t="s">
        <v>74</v>
      </c>
      <c r="J181" s="5">
        <v>43668</v>
      </c>
      <c r="K181" s="8">
        <v>24.3</v>
      </c>
      <c r="L181" s="11">
        <v>1307899</v>
      </c>
      <c r="M181" s="12">
        <v>0.18420000000000003</v>
      </c>
      <c r="N181" s="7">
        <v>3</v>
      </c>
      <c r="O181" s="1" t="s">
        <v>41</v>
      </c>
      <c r="P181" s="1">
        <v>8269612255</v>
      </c>
      <c r="Q181" s="1" t="s">
        <v>2714</v>
      </c>
      <c r="R181" s="10">
        <v>73</v>
      </c>
      <c r="S181" s="10">
        <v>43</v>
      </c>
      <c r="T181" s="1" t="s">
        <v>528</v>
      </c>
      <c r="U181" t="str">
        <f t="shared" si="12"/>
        <v>Valid</v>
      </c>
      <c r="V181">
        <f t="shared" si="13"/>
        <v>7</v>
      </c>
      <c r="W181" t="str">
        <f t="shared" si="14"/>
        <v>Jul</v>
      </c>
      <c r="X181">
        <f t="shared" si="15"/>
        <v>2019</v>
      </c>
      <c r="Y181">
        <f t="shared" ca="1" si="16"/>
        <v>6</v>
      </c>
      <c r="Z181" t="str" cm="1">
        <f t="array" ref="Z181">_xlfn.IFS(G181&lt;30,"20-29",G181&lt;40,"30-39",G181&lt;50,"40-49",G181&gt;=50,"50+")</f>
        <v>30-39</v>
      </c>
      <c r="AA181" t="str" cm="1">
        <f t="array" ref="AA181">_xlfn.IFS(L181&lt;500000,"Band 1: &lt;5L", L181&lt;1000000,"Band 2: 5-10L", L181&lt;1500000,"Band 3: 10-15L", L181&lt;2000000,"Band 4: 15-20L", L181&gt;=2000000,"Band 5: 20L+")</f>
        <v>Band 3: 10-15L</v>
      </c>
      <c r="AB181" t="str" cm="1">
        <f t="array" ref="AB181">_xlfn.IFS(N181=1,"Poor", N181=2,"Below Average", N181=3,"Average", N181=4,"Good", N181=5,"Excellent")</f>
        <v>Average</v>
      </c>
      <c r="AC181" s="14">
        <f t="shared" si="17"/>
        <v>240914.99580000003</v>
      </c>
      <c r="AD181" t="str" cm="1">
        <f t="array" ref="AD181">_xlfn.IFS(K181&lt;2,"Junior (0-2 yrs)", K181&lt;5,"Mid-Level (2-5 yrs)", K181&lt;10,"Senior (5-10 yrs)", K181&gt;=10,"Expert (10+ yrs)")</f>
        <v>Expert (10+ yrs)</v>
      </c>
    </row>
    <row r="182" spans="1:30" x14ac:dyDescent="0.3">
      <c r="A182" s="1" t="s">
        <v>1432</v>
      </c>
      <c r="B182" s="1" t="s">
        <v>1433</v>
      </c>
      <c r="C182" s="1" t="s">
        <v>58</v>
      </c>
      <c r="D182" s="1" t="s">
        <v>23</v>
      </c>
      <c r="E182" s="1" t="s">
        <v>60</v>
      </c>
      <c r="F182" s="1" t="s">
        <v>37</v>
      </c>
      <c r="G182" s="1">
        <v>27</v>
      </c>
      <c r="H182" s="1" t="s">
        <v>84</v>
      </c>
      <c r="I182" s="1" t="s">
        <v>51</v>
      </c>
      <c r="J182" s="5">
        <v>42801</v>
      </c>
      <c r="K182" s="8">
        <v>23.4</v>
      </c>
      <c r="L182" s="11">
        <v>912736</v>
      </c>
      <c r="M182" s="12">
        <v>0.1928</v>
      </c>
      <c r="N182" s="7">
        <v>5</v>
      </c>
      <c r="O182" s="1" t="s">
        <v>76</v>
      </c>
      <c r="P182" s="1">
        <v>7523820885</v>
      </c>
      <c r="Q182" s="1" t="s">
        <v>2715</v>
      </c>
      <c r="R182" s="10">
        <v>4</v>
      </c>
      <c r="S182" s="10">
        <v>94</v>
      </c>
      <c r="T182" s="1" t="s">
        <v>213</v>
      </c>
      <c r="U182" t="str">
        <f t="shared" si="12"/>
        <v>Valid</v>
      </c>
      <c r="V182">
        <f t="shared" si="13"/>
        <v>3</v>
      </c>
      <c r="W182" t="str">
        <f t="shared" si="14"/>
        <v>Mar</v>
      </c>
      <c r="X182">
        <f t="shared" si="15"/>
        <v>2017</v>
      </c>
      <c r="Y182">
        <f t="shared" ca="1" si="16"/>
        <v>9</v>
      </c>
      <c r="Z182" t="str" cm="1">
        <f t="array" ref="Z182">_xlfn.IFS(G182&lt;30,"20-29",G182&lt;40,"30-39",G182&lt;50,"40-49",G182&gt;=50,"50+")</f>
        <v>20-29</v>
      </c>
      <c r="AA182" t="str" cm="1">
        <f t="array" ref="AA182">_xlfn.IFS(L182&lt;500000,"Band 1: &lt;5L", L182&lt;1000000,"Band 2: 5-10L", L182&lt;1500000,"Band 3: 10-15L", L182&lt;2000000,"Band 4: 15-20L", L182&gt;=2000000,"Band 5: 20L+")</f>
        <v>Band 2: 5-10L</v>
      </c>
      <c r="AB182" t="str" cm="1">
        <f t="array" ref="AB182">_xlfn.IFS(N182=1,"Poor", N182=2,"Below Average", N182=3,"Average", N182=4,"Good", N182=5,"Excellent")</f>
        <v>Excellent</v>
      </c>
      <c r="AC182" s="14">
        <f t="shared" si="17"/>
        <v>175975.50080000001</v>
      </c>
      <c r="AD182" t="str" cm="1">
        <f t="array" ref="AD182">_xlfn.IFS(K182&lt;2,"Junior (0-2 yrs)", K182&lt;5,"Mid-Level (2-5 yrs)", K182&lt;10,"Senior (5-10 yrs)", K182&gt;=10,"Expert (10+ yrs)")</f>
        <v>Expert (10+ yrs)</v>
      </c>
    </row>
    <row r="183" spans="1:30" x14ac:dyDescent="0.3">
      <c r="A183" s="1" t="s">
        <v>1449</v>
      </c>
      <c r="B183" s="1" t="s">
        <v>1450</v>
      </c>
      <c r="C183" s="1" t="s">
        <v>69</v>
      </c>
      <c r="D183" s="1" t="s">
        <v>244</v>
      </c>
      <c r="E183" s="1" t="s">
        <v>168</v>
      </c>
      <c r="F183" s="1" t="s">
        <v>37</v>
      </c>
      <c r="G183" s="1">
        <v>54</v>
      </c>
      <c r="H183" s="1" t="s">
        <v>38</v>
      </c>
      <c r="I183" s="1" t="s">
        <v>27</v>
      </c>
      <c r="J183" s="5">
        <v>41116</v>
      </c>
      <c r="K183" s="8">
        <v>11</v>
      </c>
      <c r="L183" s="11">
        <v>1467277</v>
      </c>
      <c r="M183" s="12">
        <v>4.0099999999999997E-2</v>
      </c>
      <c r="N183" s="7">
        <v>5</v>
      </c>
      <c r="O183" s="1" t="s">
        <v>41</v>
      </c>
      <c r="P183" s="1">
        <v>7371189092</v>
      </c>
      <c r="Q183" s="1" t="s">
        <v>2716</v>
      </c>
      <c r="R183" s="10">
        <v>68</v>
      </c>
      <c r="S183" s="10">
        <v>118</v>
      </c>
      <c r="T183" s="1" t="s">
        <v>468</v>
      </c>
      <c r="U183" t="str">
        <f t="shared" si="12"/>
        <v>Invalid</v>
      </c>
      <c r="V183">
        <f t="shared" si="13"/>
        <v>7</v>
      </c>
      <c r="W183" t="str">
        <f t="shared" si="14"/>
        <v>Jul</v>
      </c>
      <c r="X183">
        <f t="shared" si="15"/>
        <v>2012</v>
      </c>
      <c r="Y183">
        <f t="shared" ca="1" si="16"/>
        <v>13</v>
      </c>
      <c r="Z183" t="str" cm="1">
        <f t="array" ref="Z183">_xlfn.IFS(G183&lt;30,"20-29",G183&lt;40,"30-39",G183&lt;50,"40-49",G183&gt;=50,"50+")</f>
        <v>50+</v>
      </c>
      <c r="AA183" t="str" cm="1">
        <f t="array" ref="AA183">_xlfn.IFS(L183&lt;500000,"Band 1: &lt;5L", L183&lt;1000000,"Band 2: 5-10L", L183&lt;1500000,"Band 3: 10-15L", L183&lt;2000000,"Band 4: 15-20L", L183&gt;=2000000,"Band 5: 20L+")</f>
        <v>Band 3: 10-15L</v>
      </c>
      <c r="AB183" t="str" cm="1">
        <f t="array" ref="AB183">_xlfn.IFS(N183=1,"Poor", N183=2,"Below Average", N183=3,"Average", N183=4,"Good", N183=5,"Excellent")</f>
        <v>Excellent</v>
      </c>
      <c r="AC183" s="14">
        <f t="shared" si="17"/>
        <v>58837.807699999998</v>
      </c>
      <c r="AD183" t="str" cm="1">
        <f t="array" ref="AD183">_xlfn.IFS(K183&lt;2,"Junior (0-2 yrs)", K183&lt;5,"Mid-Level (2-5 yrs)", K183&lt;10,"Senior (5-10 yrs)", K183&gt;=10,"Expert (10+ yrs)")</f>
        <v>Expert (10+ yrs)</v>
      </c>
    </row>
    <row r="184" spans="1:30" x14ac:dyDescent="0.3">
      <c r="A184" s="1" t="s">
        <v>1454</v>
      </c>
      <c r="B184" s="1" t="s">
        <v>1455</v>
      </c>
      <c r="C184" s="1" t="s">
        <v>132</v>
      </c>
      <c r="D184" s="1" t="s">
        <v>111</v>
      </c>
      <c r="E184" s="1" t="s">
        <v>175</v>
      </c>
      <c r="F184" s="1" t="s">
        <v>37</v>
      </c>
      <c r="G184" s="1">
        <v>51</v>
      </c>
      <c r="H184" s="1" t="s">
        <v>84</v>
      </c>
      <c r="I184" s="1" t="s">
        <v>27</v>
      </c>
      <c r="J184" s="5">
        <v>44984</v>
      </c>
      <c r="K184" s="8">
        <v>23.6</v>
      </c>
      <c r="L184" s="11">
        <v>765277</v>
      </c>
      <c r="M184" s="12">
        <v>0.17699999999999999</v>
      </c>
      <c r="N184" s="7">
        <v>4</v>
      </c>
      <c r="O184" s="1" t="s">
        <v>41</v>
      </c>
      <c r="P184" s="1">
        <v>7882127124</v>
      </c>
      <c r="Q184" s="1" t="s">
        <v>2717</v>
      </c>
      <c r="R184" s="10">
        <v>63</v>
      </c>
      <c r="S184" s="10">
        <v>12</v>
      </c>
      <c r="T184" s="1" t="s">
        <v>904</v>
      </c>
      <c r="U184" t="str">
        <f t="shared" si="12"/>
        <v>Valid</v>
      </c>
      <c r="V184">
        <f t="shared" si="13"/>
        <v>2</v>
      </c>
      <c r="W184" t="str">
        <f t="shared" si="14"/>
        <v>Feb</v>
      </c>
      <c r="X184">
        <f t="shared" si="15"/>
        <v>2023</v>
      </c>
      <c r="Y184">
        <f t="shared" ca="1" si="16"/>
        <v>3</v>
      </c>
      <c r="Z184" t="str" cm="1">
        <f t="array" ref="Z184">_xlfn.IFS(G184&lt;30,"20-29",G184&lt;40,"30-39",G184&lt;50,"40-49",G184&gt;=50,"50+")</f>
        <v>50+</v>
      </c>
      <c r="AA184" t="str" cm="1">
        <f t="array" ref="AA184">_xlfn.IFS(L184&lt;500000,"Band 1: &lt;5L", L184&lt;1000000,"Band 2: 5-10L", L184&lt;1500000,"Band 3: 10-15L", L184&lt;2000000,"Band 4: 15-20L", L184&gt;=2000000,"Band 5: 20L+")</f>
        <v>Band 2: 5-10L</v>
      </c>
      <c r="AB184" t="str" cm="1">
        <f t="array" ref="AB184">_xlfn.IFS(N184=1,"Poor", N184=2,"Below Average", N184=3,"Average", N184=4,"Good", N184=5,"Excellent")</f>
        <v>Good</v>
      </c>
      <c r="AC184" s="14">
        <f t="shared" si="17"/>
        <v>135454.02899999998</v>
      </c>
      <c r="AD184" t="str" cm="1">
        <f t="array" ref="AD184">_xlfn.IFS(K184&lt;2,"Junior (0-2 yrs)", K184&lt;5,"Mid-Level (2-5 yrs)", K184&lt;10,"Senior (5-10 yrs)", K184&gt;=10,"Expert (10+ yrs)")</f>
        <v>Expert (10+ yrs)</v>
      </c>
    </row>
    <row r="185" spans="1:30" x14ac:dyDescent="0.3">
      <c r="A185" s="1" t="s">
        <v>1459</v>
      </c>
      <c r="B185" s="1" t="s">
        <v>1460</v>
      </c>
      <c r="C185" s="1" t="s">
        <v>197</v>
      </c>
      <c r="D185" s="1" t="s">
        <v>111</v>
      </c>
      <c r="E185" s="1" t="s">
        <v>175</v>
      </c>
      <c r="F185" s="1" t="s">
        <v>37</v>
      </c>
      <c r="G185" s="1">
        <v>28</v>
      </c>
      <c r="H185" s="1" t="s">
        <v>204</v>
      </c>
      <c r="I185" s="1" t="s">
        <v>39</v>
      </c>
      <c r="J185" s="5">
        <v>44267</v>
      </c>
      <c r="K185" s="8">
        <v>17.600000000000001</v>
      </c>
      <c r="L185" s="11">
        <v>1401001</v>
      </c>
      <c r="M185" s="12">
        <v>0.1734</v>
      </c>
      <c r="N185" s="7">
        <v>3</v>
      </c>
      <c r="O185" s="1" t="s">
        <v>41</v>
      </c>
      <c r="P185" s="1">
        <v>9072712577</v>
      </c>
      <c r="Q185" s="1" t="s">
        <v>2718</v>
      </c>
      <c r="R185" s="10">
        <v>62</v>
      </c>
      <c r="S185" s="10">
        <v>96</v>
      </c>
      <c r="T185" s="1" t="s">
        <v>1280</v>
      </c>
      <c r="U185" t="str">
        <f t="shared" si="12"/>
        <v>Valid</v>
      </c>
      <c r="V185">
        <f t="shared" si="13"/>
        <v>3</v>
      </c>
      <c r="W185" t="str">
        <f t="shared" si="14"/>
        <v>Mar</v>
      </c>
      <c r="X185">
        <f t="shared" si="15"/>
        <v>2021</v>
      </c>
      <c r="Y185">
        <f t="shared" ca="1" si="16"/>
        <v>5</v>
      </c>
      <c r="Z185" t="str" cm="1">
        <f t="array" ref="Z185">_xlfn.IFS(G185&lt;30,"20-29",G185&lt;40,"30-39",G185&lt;50,"40-49",G185&gt;=50,"50+")</f>
        <v>20-29</v>
      </c>
      <c r="AA185" t="str" cm="1">
        <f t="array" ref="AA185">_xlfn.IFS(L185&lt;500000,"Band 1: &lt;5L", L185&lt;1000000,"Band 2: 5-10L", L185&lt;1500000,"Band 3: 10-15L", L185&lt;2000000,"Band 4: 15-20L", L185&gt;=2000000,"Band 5: 20L+")</f>
        <v>Band 3: 10-15L</v>
      </c>
      <c r="AB185" t="str" cm="1">
        <f t="array" ref="AB185">_xlfn.IFS(N185=1,"Poor", N185=2,"Below Average", N185=3,"Average", N185=4,"Good", N185=5,"Excellent")</f>
        <v>Average</v>
      </c>
      <c r="AC185" s="14">
        <f t="shared" si="17"/>
        <v>242933.57339999999</v>
      </c>
      <c r="AD185" t="str" cm="1">
        <f t="array" ref="AD185">_xlfn.IFS(K185&lt;2,"Junior (0-2 yrs)", K185&lt;5,"Mid-Level (2-5 yrs)", K185&lt;10,"Senior (5-10 yrs)", K185&gt;=10,"Expert (10+ yrs)")</f>
        <v>Expert (10+ yrs)</v>
      </c>
    </row>
    <row r="186" spans="1:30" x14ac:dyDescent="0.3">
      <c r="A186" s="1" t="s">
        <v>1477</v>
      </c>
      <c r="B186" s="1" t="s">
        <v>1478</v>
      </c>
      <c r="C186" s="1" t="s">
        <v>197</v>
      </c>
      <c r="D186" s="1" t="s">
        <v>231</v>
      </c>
      <c r="E186" s="1" t="s">
        <v>36</v>
      </c>
      <c r="F186" s="1" t="s">
        <v>37</v>
      </c>
      <c r="G186" s="1">
        <v>58</v>
      </c>
      <c r="H186" s="1" t="s">
        <v>218</v>
      </c>
      <c r="I186" s="1" t="s">
        <v>74</v>
      </c>
      <c r="J186" s="5">
        <v>44184</v>
      </c>
      <c r="K186" s="8">
        <v>10.1</v>
      </c>
      <c r="L186" s="11">
        <v>1686636</v>
      </c>
      <c r="M186" s="12">
        <v>8.199999999999999E-2</v>
      </c>
      <c r="N186" s="7">
        <v>5</v>
      </c>
      <c r="O186" s="1" t="s">
        <v>41</v>
      </c>
      <c r="P186" s="1">
        <v>7971516837</v>
      </c>
      <c r="Q186" s="1" t="s">
        <v>2719</v>
      </c>
      <c r="R186" s="10">
        <v>63</v>
      </c>
      <c r="S186" s="10">
        <v>51</v>
      </c>
      <c r="T186" s="1" t="s">
        <v>288</v>
      </c>
      <c r="U186" t="str">
        <f t="shared" si="12"/>
        <v>Invalid</v>
      </c>
      <c r="V186">
        <f t="shared" si="13"/>
        <v>12</v>
      </c>
      <c r="W186" t="str">
        <f t="shared" si="14"/>
        <v>Dec</v>
      </c>
      <c r="X186">
        <f t="shared" si="15"/>
        <v>2020</v>
      </c>
      <c r="Y186">
        <f t="shared" ca="1" si="16"/>
        <v>5</v>
      </c>
      <c r="Z186" t="str" cm="1">
        <f t="array" ref="Z186">_xlfn.IFS(G186&lt;30,"20-29",G186&lt;40,"30-39",G186&lt;50,"40-49",G186&gt;=50,"50+")</f>
        <v>50+</v>
      </c>
      <c r="AA186" t="str" cm="1">
        <f t="array" ref="AA186">_xlfn.IFS(L186&lt;500000,"Band 1: &lt;5L", L186&lt;1000000,"Band 2: 5-10L", L186&lt;1500000,"Band 3: 10-15L", L186&lt;2000000,"Band 4: 15-20L", L186&gt;=2000000,"Band 5: 20L+")</f>
        <v>Band 4: 15-20L</v>
      </c>
      <c r="AB186" t="str" cm="1">
        <f t="array" ref="AB186">_xlfn.IFS(N186=1,"Poor", N186=2,"Below Average", N186=3,"Average", N186=4,"Good", N186=5,"Excellent")</f>
        <v>Excellent</v>
      </c>
      <c r="AC186" s="14">
        <f t="shared" si="17"/>
        <v>138304.15199999997</v>
      </c>
      <c r="AD186" t="str" cm="1">
        <f t="array" ref="AD186">_xlfn.IFS(K186&lt;2,"Junior (0-2 yrs)", K186&lt;5,"Mid-Level (2-5 yrs)", K186&lt;10,"Senior (5-10 yrs)", K186&gt;=10,"Expert (10+ yrs)")</f>
        <v>Expert (10+ yrs)</v>
      </c>
    </row>
    <row r="187" spans="1:30" x14ac:dyDescent="0.3">
      <c r="A187" s="1" t="s">
        <v>1485</v>
      </c>
      <c r="B187" s="1" t="s">
        <v>1486</v>
      </c>
      <c r="C187" s="1" t="s">
        <v>46</v>
      </c>
      <c r="D187" s="1" t="s">
        <v>23</v>
      </c>
      <c r="E187" s="1" t="s">
        <v>24</v>
      </c>
      <c r="F187" s="1" t="s">
        <v>37</v>
      </c>
      <c r="G187" s="1">
        <v>42</v>
      </c>
      <c r="H187" s="1" t="s">
        <v>26</v>
      </c>
      <c r="I187" s="1" t="s">
        <v>198</v>
      </c>
      <c r="J187" s="5">
        <v>40349</v>
      </c>
      <c r="K187" s="8">
        <v>13.1</v>
      </c>
      <c r="L187" s="11">
        <v>2044703</v>
      </c>
      <c r="M187" s="12">
        <v>4.0099999999999997E-2</v>
      </c>
      <c r="N187" s="7">
        <v>3</v>
      </c>
      <c r="O187" s="1" t="s">
        <v>41</v>
      </c>
      <c r="P187" s="1">
        <v>9021576811</v>
      </c>
      <c r="Q187" s="1" t="s">
        <v>2720</v>
      </c>
      <c r="R187" s="10">
        <v>19</v>
      </c>
      <c r="S187" s="10">
        <v>3</v>
      </c>
      <c r="T187" s="1" t="s">
        <v>573</v>
      </c>
      <c r="U187" t="str">
        <f t="shared" si="12"/>
        <v>Valid</v>
      </c>
      <c r="V187">
        <f t="shared" si="13"/>
        <v>6</v>
      </c>
      <c r="W187" t="str">
        <f t="shared" si="14"/>
        <v>Jun</v>
      </c>
      <c r="X187">
        <f t="shared" si="15"/>
        <v>2010</v>
      </c>
      <c r="Y187">
        <f t="shared" ca="1" si="16"/>
        <v>15</v>
      </c>
      <c r="Z187" t="str" cm="1">
        <f t="array" ref="Z187">_xlfn.IFS(G187&lt;30,"20-29",G187&lt;40,"30-39",G187&lt;50,"40-49",G187&gt;=50,"50+")</f>
        <v>40-49</v>
      </c>
      <c r="AA187" t="str" cm="1">
        <f t="array" ref="AA187">_xlfn.IFS(L187&lt;500000,"Band 1: &lt;5L", L187&lt;1000000,"Band 2: 5-10L", L187&lt;1500000,"Band 3: 10-15L", L187&lt;2000000,"Band 4: 15-20L", L187&gt;=2000000,"Band 5: 20L+")</f>
        <v>Band 5: 20L+</v>
      </c>
      <c r="AB187" t="str" cm="1">
        <f t="array" ref="AB187">_xlfn.IFS(N187=1,"Poor", N187=2,"Below Average", N187=3,"Average", N187=4,"Good", N187=5,"Excellent")</f>
        <v>Average</v>
      </c>
      <c r="AC187" s="14">
        <f t="shared" si="17"/>
        <v>81992.590299999996</v>
      </c>
      <c r="AD187" t="str" cm="1">
        <f t="array" ref="AD187">_xlfn.IFS(K187&lt;2,"Junior (0-2 yrs)", K187&lt;5,"Mid-Level (2-5 yrs)", K187&lt;10,"Senior (5-10 yrs)", K187&gt;=10,"Expert (10+ yrs)")</f>
        <v>Expert (10+ yrs)</v>
      </c>
    </row>
    <row r="188" spans="1:30" x14ac:dyDescent="0.3">
      <c r="A188" s="1" t="s">
        <v>1490</v>
      </c>
      <c r="B188" s="1" t="s">
        <v>1491</v>
      </c>
      <c r="C188" s="1" t="s">
        <v>58</v>
      </c>
      <c r="D188" s="1" t="s">
        <v>111</v>
      </c>
      <c r="E188" s="1" t="s">
        <v>36</v>
      </c>
      <c r="F188" s="1" t="s">
        <v>37</v>
      </c>
      <c r="G188" s="1">
        <v>51</v>
      </c>
      <c r="H188" s="1" t="s">
        <v>84</v>
      </c>
      <c r="I188" s="1" t="s">
        <v>39</v>
      </c>
      <c r="J188" s="5">
        <v>42507</v>
      </c>
      <c r="K188" s="8">
        <v>3.9</v>
      </c>
      <c r="L188" s="11">
        <v>2394826</v>
      </c>
      <c r="M188" s="12">
        <v>5.4699999999999999E-2</v>
      </c>
      <c r="N188" s="7">
        <v>4</v>
      </c>
      <c r="O188" s="1" t="s">
        <v>41</v>
      </c>
      <c r="P188" s="1">
        <v>9724267917</v>
      </c>
      <c r="Q188" s="1" t="s">
        <v>2721</v>
      </c>
      <c r="R188" s="10">
        <v>53</v>
      </c>
      <c r="S188" s="10">
        <v>99</v>
      </c>
      <c r="T188" s="1" t="s">
        <v>522</v>
      </c>
      <c r="U188" t="str">
        <f t="shared" si="12"/>
        <v>Valid</v>
      </c>
      <c r="V188">
        <f t="shared" si="13"/>
        <v>5</v>
      </c>
      <c r="W188" t="str">
        <f t="shared" si="14"/>
        <v>May</v>
      </c>
      <c r="X188">
        <f t="shared" si="15"/>
        <v>2016</v>
      </c>
      <c r="Y188">
        <f t="shared" ca="1" si="16"/>
        <v>9</v>
      </c>
      <c r="Z188" t="str" cm="1">
        <f t="array" ref="Z188">_xlfn.IFS(G188&lt;30,"20-29",G188&lt;40,"30-39",G188&lt;50,"40-49",G188&gt;=50,"50+")</f>
        <v>50+</v>
      </c>
      <c r="AA188" t="str" cm="1">
        <f t="array" ref="AA188">_xlfn.IFS(L188&lt;500000,"Band 1: &lt;5L", L188&lt;1000000,"Band 2: 5-10L", L188&lt;1500000,"Band 3: 10-15L", L188&lt;2000000,"Band 4: 15-20L", L188&gt;=2000000,"Band 5: 20L+")</f>
        <v>Band 5: 20L+</v>
      </c>
      <c r="AB188" t="str" cm="1">
        <f t="array" ref="AB188">_xlfn.IFS(N188=1,"Poor", N188=2,"Below Average", N188=3,"Average", N188=4,"Good", N188=5,"Excellent")</f>
        <v>Good</v>
      </c>
      <c r="AC188" s="14">
        <f t="shared" si="17"/>
        <v>130996.9822</v>
      </c>
      <c r="AD188" t="str" cm="1">
        <f t="array" ref="AD188">_xlfn.IFS(K188&lt;2,"Junior (0-2 yrs)", K188&lt;5,"Mid-Level (2-5 yrs)", K188&lt;10,"Senior (5-10 yrs)", K188&gt;=10,"Expert (10+ yrs)")</f>
        <v>Mid-Level (2-5 yrs)</v>
      </c>
    </row>
    <row r="189" spans="1:30" x14ac:dyDescent="0.3">
      <c r="A189" s="1" t="s">
        <v>1495</v>
      </c>
      <c r="B189" s="1" t="s">
        <v>1496</v>
      </c>
      <c r="C189" s="1" t="s">
        <v>69</v>
      </c>
      <c r="D189" s="1" t="s">
        <v>83</v>
      </c>
      <c r="E189" s="1" t="s">
        <v>168</v>
      </c>
      <c r="F189" s="1" t="s">
        <v>93</v>
      </c>
      <c r="G189" s="1">
        <v>52</v>
      </c>
      <c r="H189" s="1" t="s">
        <v>62</v>
      </c>
      <c r="I189" s="1" t="s">
        <v>39</v>
      </c>
      <c r="J189" s="5">
        <v>42395</v>
      </c>
      <c r="K189" s="8">
        <v>1.4</v>
      </c>
      <c r="L189" s="11">
        <v>1195358</v>
      </c>
      <c r="M189" s="12">
        <v>0.1709</v>
      </c>
      <c r="N189" s="7">
        <v>3</v>
      </c>
      <c r="O189" s="1" t="s">
        <v>41</v>
      </c>
      <c r="P189" s="1">
        <v>7232261179</v>
      </c>
      <c r="Q189" s="1" t="s">
        <v>2722</v>
      </c>
      <c r="R189" s="10">
        <v>22</v>
      </c>
      <c r="S189" s="10">
        <v>8</v>
      </c>
      <c r="T189" s="1" t="s">
        <v>138</v>
      </c>
      <c r="U189" t="str">
        <f t="shared" si="12"/>
        <v>Valid</v>
      </c>
      <c r="V189">
        <f t="shared" si="13"/>
        <v>1</v>
      </c>
      <c r="W189" t="str">
        <f t="shared" si="14"/>
        <v>Jan</v>
      </c>
      <c r="X189">
        <f t="shared" si="15"/>
        <v>2016</v>
      </c>
      <c r="Y189">
        <f t="shared" ca="1" si="16"/>
        <v>10</v>
      </c>
      <c r="Z189" t="str" cm="1">
        <f t="array" ref="Z189">_xlfn.IFS(G189&lt;30,"20-29",G189&lt;40,"30-39",G189&lt;50,"40-49",G189&gt;=50,"50+")</f>
        <v>50+</v>
      </c>
      <c r="AA189" t="str" cm="1">
        <f t="array" ref="AA189">_xlfn.IFS(L189&lt;500000,"Band 1: &lt;5L", L189&lt;1000000,"Band 2: 5-10L", L189&lt;1500000,"Band 3: 10-15L", L189&lt;2000000,"Band 4: 15-20L", L189&gt;=2000000,"Band 5: 20L+")</f>
        <v>Band 3: 10-15L</v>
      </c>
      <c r="AB189" t="str" cm="1">
        <f t="array" ref="AB189">_xlfn.IFS(N189=1,"Poor", N189=2,"Below Average", N189=3,"Average", N189=4,"Good", N189=5,"Excellent")</f>
        <v>Average</v>
      </c>
      <c r="AC189" s="14">
        <f t="shared" si="17"/>
        <v>204286.68219999998</v>
      </c>
      <c r="AD189" t="str" cm="1">
        <f t="array" ref="AD189">_xlfn.IFS(K189&lt;2,"Junior (0-2 yrs)", K189&lt;5,"Mid-Level (2-5 yrs)", K189&lt;10,"Senior (5-10 yrs)", K189&gt;=10,"Expert (10+ yrs)")</f>
        <v>Junior (0-2 yrs)</v>
      </c>
    </row>
    <row r="190" spans="1:30" x14ac:dyDescent="0.3">
      <c r="A190" s="1" t="s">
        <v>1500</v>
      </c>
      <c r="B190" s="1" t="s">
        <v>1501</v>
      </c>
      <c r="C190" s="1" t="s">
        <v>69</v>
      </c>
      <c r="D190" s="1" t="s">
        <v>244</v>
      </c>
      <c r="E190" s="1" t="s">
        <v>36</v>
      </c>
      <c r="F190" s="1" t="s">
        <v>93</v>
      </c>
      <c r="G190" s="1">
        <v>58</v>
      </c>
      <c r="H190" s="1" t="s">
        <v>103</v>
      </c>
      <c r="I190" s="1" t="s">
        <v>51</v>
      </c>
      <c r="J190" s="5">
        <v>43512</v>
      </c>
      <c r="K190" s="8">
        <v>29</v>
      </c>
      <c r="L190" s="11">
        <v>1634698</v>
      </c>
      <c r="M190" s="12">
        <v>0.16750000000000001</v>
      </c>
      <c r="N190" s="7">
        <v>2</v>
      </c>
      <c r="O190" s="1" t="s">
        <v>41</v>
      </c>
      <c r="P190" s="1">
        <v>7721070971</v>
      </c>
      <c r="Q190" s="1" t="s">
        <v>2723</v>
      </c>
      <c r="R190" s="10">
        <v>42</v>
      </c>
      <c r="S190" s="10">
        <v>33</v>
      </c>
      <c r="T190" s="1" t="s">
        <v>360</v>
      </c>
      <c r="U190" t="str">
        <f t="shared" si="12"/>
        <v>Invalid</v>
      </c>
      <c r="V190">
        <f t="shared" si="13"/>
        <v>2</v>
      </c>
      <c r="W190" t="str">
        <f t="shared" si="14"/>
        <v>Feb</v>
      </c>
      <c r="X190">
        <f t="shared" si="15"/>
        <v>2019</v>
      </c>
      <c r="Y190">
        <f t="shared" ca="1" si="16"/>
        <v>7</v>
      </c>
      <c r="Z190" t="str" cm="1">
        <f t="array" ref="Z190">_xlfn.IFS(G190&lt;30,"20-29",G190&lt;40,"30-39",G190&lt;50,"40-49",G190&gt;=50,"50+")</f>
        <v>50+</v>
      </c>
      <c r="AA190" t="str" cm="1">
        <f t="array" ref="AA190">_xlfn.IFS(L190&lt;500000,"Band 1: &lt;5L", L190&lt;1000000,"Band 2: 5-10L", L190&lt;1500000,"Band 3: 10-15L", L190&lt;2000000,"Band 4: 15-20L", L190&gt;=2000000,"Band 5: 20L+")</f>
        <v>Band 4: 15-20L</v>
      </c>
      <c r="AB190" t="str" cm="1">
        <f t="array" ref="AB190">_xlfn.IFS(N190=1,"Poor", N190=2,"Below Average", N190=3,"Average", N190=4,"Good", N190=5,"Excellent")</f>
        <v>Below Average</v>
      </c>
      <c r="AC190" s="14">
        <f t="shared" si="17"/>
        <v>273811.91500000004</v>
      </c>
      <c r="AD190" t="str" cm="1">
        <f t="array" ref="AD190">_xlfn.IFS(K190&lt;2,"Junior (0-2 yrs)", K190&lt;5,"Mid-Level (2-5 yrs)", K190&lt;10,"Senior (5-10 yrs)", K190&gt;=10,"Expert (10+ yrs)")</f>
        <v>Expert (10+ yrs)</v>
      </c>
    </row>
    <row r="191" spans="1:30" x14ac:dyDescent="0.3">
      <c r="A191" s="1" t="s">
        <v>1505</v>
      </c>
      <c r="B191" s="1" t="s">
        <v>1506</v>
      </c>
      <c r="C191" s="1" t="s">
        <v>124</v>
      </c>
      <c r="D191" s="1" t="s">
        <v>101</v>
      </c>
      <c r="E191" s="1" t="s">
        <v>102</v>
      </c>
      <c r="F191" s="1" t="s">
        <v>37</v>
      </c>
      <c r="G191" s="1">
        <v>42</v>
      </c>
      <c r="H191" s="1" t="s">
        <v>38</v>
      </c>
      <c r="I191" s="1" t="s">
        <v>27</v>
      </c>
      <c r="J191" s="5">
        <v>42305</v>
      </c>
      <c r="K191" s="8">
        <v>11.7</v>
      </c>
      <c r="L191" s="11">
        <v>349576</v>
      </c>
      <c r="M191" s="12">
        <v>0.12470000000000001</v>
      </c>
      <c r="N191" s="7">
        <v>4</v>
      </c>
      <c r="O191" s="1" t="s">
        <v>41</v>
      </c>
      <c r="P191" s="1">
        <v>9024412906</v>
      </c>
      <c r="Q191" s="1" t="s">
        <v>2724</v>
      </c>
      <c r="R191" s="10">
        <v>47</v>
      </c>
      <c r="S191" s="10">
        <v>51</v>
      </c>
      <c r="T191" s="1" t="s">
        <v>138</v>
      </c>
      <c r="U191" t="str">
        <f t="shared" si="12"/>
        <v>Invalid</v>
      </c>
      <c r="V191">
        <f t="shared" si="13"/>
        <v>10</v>
      </c>
      <c r="W191" t="str">
        <f t="shared" si="14"/>
        <v>Oct</v>
      </c>
      <c r="X191">
        <f t="shared" si="15"/>
        <v>2015</v>
      </c>
      <c r="Y191">
        <f t="shared" ca="1" si="16"/>
        <v>10</v>
      </c>
      <c r="Z191" t="str" cm="1">
        <f t="array" ref="Z191">_xlfn.IFS(G191&lt;30,"20-29",G191&lt;40,"30-39",G191&lt;50,"40-49",G191&gt;=50,"50+")</f>
        <v>40-49</v>
      </c>
      <c r="AA191" t="str" cm="1">
        <f t="array" ref="AA191">_xlfn.IFS(L191&lt;500000,"Band 1: &lt;5L", L191&lt;1000000,"Band 2: 5-10L", L191&lt;1500000,"Band 3: 10-15L", L191&lt;2000000,"Band 4: 15-20L", L191&gt;=2000000,"Band 5: 20L+")</f>
        <v>Band 1: &lt;5L</v>
      </c>
      <c r="AB191" t="str" cm="1">
        <f t="array" ref="AB191">_xlfn.IFS(N191=1,"Poor", N191=2,"Below Average", N191=3,"Average", N191=4,"Good", N191=5,"Excellent")</f>
        <v>Good</v>
      </c>
      <c r="AC191" s="14">
        <f t="shared" si="17"/>
        <v>43592.127200000003</v>
      </c>
      <c r="AD191" t="str" cm="1">
        <f t="array" ref="AD191">_xlfn.IFS(K191&lt;2,"Junior (0-2 yrs)", K191&lt;5,"Mid-Level (2-5 yrs)", K191&lt;10,"Senior (5-10 yrs)", K191&gt;=10,"Expert (10+ yrs)")</f>
        <v>Expert (10+ yrs)</v>
      </c>
    </row>
    <row r="192" spans="1:30" x14ac:dyDescent="0.3">
      <c r="A192" s="1" t="s">
        <v>1515</v>
      </c>
      <c r="B192" s="1" t="s">
        <v>1261</v>
      </c>
      <c r="C192" s="1" t="s">
        <v>124</v>
      </c>
      <c r="D192" s="1" t="s">
        <v>23</v>
      </c>
      <c r="E192" s="1" t="s">
        <v>168</v>
      </c>
      <c r="F192" s="1" t="s">
        <v>93</v>
      </c>
      <c r="G192" s="1">
        <v>43</v>
      </c>
      <c r="H192" s="1" t="s">
        <v>103</v>
      </c>
      <c r="I192" s="1" t="s">
        <v>39</v>
      </c>
      <c r="J192" s="5">
        <v>44839</v>
      </c>
      <c r="K192" s="8">
        <v>22.1</v>
      </c>
      <c r="L192" s="11">
        <v>2200447</v>
      </c>
      <c r="M192" s="12">
        <v>0.23800000000000002</v>
      </c>
      <c r="N192" s="7">
        <v>1</v>
      </c>
      <c r="O192" s="1" t="s">
        <v>41</v>
      </c>
      <c r="P192" s="1">
        <v>8388008205</v>
      </c>
      <c r="Q192" s="1" t="s">
        <v>2725</v>
      </c>
      <c r="R192" s="10">
        <v>51</v>
      </c>
      <c r="S192" s="10">
        <v>30</v>
      </c>
      <c r="T192" s="1" t="s">
        <v>213</v>
      </c>
      <c r="U192" t="str">
        <f t="shared" si="12"/>
        <v>Invalid</v>
      </c>
      <c r="V192">
        <f t="shared" si="13"/>
        <v>10</v>
      </c>
      <c r="W192" t="str">
        <f t="shared" si="14"/>
        <v>Oct</v>
      </c>
      <c r="X192">
        <f t="shared" si="15"/>
        <v>2022</v>
      </c>
      <c r="Y192">
        <f t="shared" ca="1" si="16"/>
        <v>3</v>
      </c>
      <c r="Z192" t="str" cm="1">
        <f t="array" ref="Z192">_xlfn.IFS(G192&lt;30,"20-29",G192&lt;40,"30-39",G192&lt;50,"40-49",G192&gt;=50,"50+")</f>
        <v>40-49</v>
      </c>
      <c r="AA192" t="str" cm="1">
        <f t="array" ref="AA192">_xlfn.IFS(L192&lt;500000,"Band 1: &lt;5L", L192&lt;1000000,"Band 2: 5-10L", L192&lt;1500000,"Band 3: 10-15L", L192&lt;2000000,"Band 4: 15-20L", L192&gt;=2000000,"Band 5: 20L+")</f>
        <v>Band 5: 20L+</v>
      </c>
      <c r="AB192" t="str" cm="1">
        <f t="array" ref="AB192">_xlfn.IFS(N192=1,"Poor", N192=2,"Below Average", N192=3,"Average", N192=4,"Good", N192=5,"Excellent")</f>
        <v>Poor</v>
      </c>
      <c r="AC192" s="14">
        <f t="shared" si="17"/>
        <v>523706.38600000006</v>
      </c>
      <c r="AD192" t="str" cm="1">
        <f t="array" ref="AD192">_xlfn.IFS(K192&lt;2,"Junior (0-2 yrs)", K192&lt;5,"Mid-Level (2-5 yrs)", K192&lt;10,"Senior (5-10 yrs)", K192&gt;=10,"Expert (10+ yrs)")</f>
        <v>Expert (10+ yrs)</v>
      </c>
    </row>
    <row r="193" spans="1:30" x14ac:dyDescent="0.3">
      <c r="A193" s="1" t="s">
        <v>1518</v>
      </c>
      <c r="B193" s="1" t="s">
        <v>1519</v>
      </c>
      <c r="C193" s="1" t="s">
        <v>69</v>
      </c>
      <c r="D193" s="1" t="s">
        <v>244</v>
      </c>
      <c r="E193" s="1" t="s">
        <v>155</v>
      </c>
      <c r="F193" s="1" t="s">
        <v>37</v>
      </c>
      <c r="G193" s="1">
        <v>30</v>
      </c>
      <c r="H193" s="1" t="s">
        <v>142</v>
      </c>
      <c r="I193" s="1" t="s">
        <v>27</v>
      </c>
      <c r="J193" s="5">
        <v>41995</v>
      </c>
      <c r="K193" s="8">
        <v>9.3000000000000007</v>
      </c>
      <c r="L193" s="11">
        <v>2053837</v>
      </c>
      <c r="M193" s="12">
        <v>0.17129999999999998</v>
      </c>
      <c r="N193" s="7">
        <v>3</v>
      </c>
      <c r="O193" s="1" t="s">
        <v>41</v>
      </c>
      <c r="P193" s="1">
        <v>9421547141</v>
      </c>
      <c r="Q193" s="1" t="s">
        <v>2726</v>
      </c>
      <c r="R193" s="10">
        <v>47</v>
      </c>
      <c r="S193" s="10">
        <v>32</v>
      </c>
      <c r="T193" s="1" t="s">
        <v>66</v>
      </c>
      <c r="U193" t="str">
        <f t="shared" si="12"/>
        <v>Invalid</v>
      </c>
      <c r="V193">
        <f t="shared" si="13"/>
        <v>12</v>
      </c>
      <c r="W193" t="str">
        <f t="shared" si="14"/>
        <v>Dec</v>
      </c>
      <c r="X193">
        <f t="shared" si="15"/>
        <v>2014</v>
      </c>
      <c r="Y193">
        <f t="shared" ca="1" si="16"/>
        <v>11</v>
      </c>
      <c r="Z193" t="str" cm="1">
        <f t="array" ref="Z193">_xlfn.IFS(G193&lt;30,"20-29",G193&lt;40,"30-39",G193&lt;50,"40-49",G193&gt;=50,"50+")</f>
        <v>30-39</v>
      </c>
      <c r="AA193" t="str" cm="1">
        <f t="array" ref="AA193">_xlfn.IFS(L193&lt;500000,"Band 1: &lt;5L", L193&lt;1000000,"Band 2: 5-10L", L193&lt;1500000,"Band 3: 10-15L", L193&lt;2000000,"Band 4: 15-20L", L193&gt;=2000000,"Band 5: 20L+")</f>
        <v>Band 5: 20L+</v>
      </c>
      <c r="AB193" t="str" cm="1">
        <f t="array" ref="AB193">_xlfn.IFS(N193=1,"Poor", N193=2,"Below Average", N193=3,"Average", N193=4,"Good", N193=5,"Excellent")</f>
        <v>Average</v>
      </c>
      <c r="AC193" s="14">
        <f t="shared" si="17"/>
        <v>351822.27809999994</v>
      </c>
      <c r="AD193" t="str" cm="1">
        <f t="array" ref="AD193">_xlfn.IFS(K193&lt;2,"Junior (0-2 yrs)", K193&lt;5,"Mid-Level (2-5 yrs)", K193&lt;10,"Senior (5-10 yrs)", K193&gt;=10,"Expert (10+ yrs)")</f>
        <v>Senior (5-10 yrs)</v>
      </c>
    </row>
    <row r="194" spans="1:30" x14ac:dyDescent="0.3">
      <c r="A194" s="1" t="s">
        <v>847</v>
      </c>
      <c r="B194" s="1" t="s">
        <v>1523</v>
      </c>
      <c r="C194" s="1" t="s">
        <v>58</v>
      </c>
      <c r="D194" s="1" t="s">
        <v>23</v>
      </c>
      <c r="E194" s="1" t="s">
        <v>92</v>
      </c>
      <c r="F194" s="1" t="s">
        <v>93</v>
      </c>
      <c r="G194" s="1">
        <v>44</v>
      </c>
      <c r="H194" s="1" t="s">
        <v>38</v>
      </c>
      <c r="I194" s="1" t="s">
        <v>27</v>
      </c>
      <c r="J194" s="5">
        <v>45053</v>
      </c>
      <c r="K194" s="8">
        <v>13</v>
      </c>
      <c r="L194" s="11">
        <v>1554743</v>
      </c>
      <c r="M194" s="12">
        <v>7.3800000000000004E-2</v>
      </c>
      <c r="N194" s="7">
        <v>4</v>
      </c>
      <c r="O194" s="1" t="s">
        <v>76</v>
      </c>
      <c r="P194" s="1">
        <v>9456389272</v>
      </c>
      <c r="Q194" s="1" t="s">
        <v>2727</v>
      </c>
      <c r="R194" s="10">
        <v>50</v>
      </c>
      <c r="S194" s="10">
        <v>72</v>
      </c>
      <c r="T194" s="1" t="s">
        <v>107</v>
      </c>
      <c r="U194" t="str">
        <f t="shared" ref="U194:U257" si="18">IF(AND(ISNUMBER(FIND("@",Q194)),ISNUMBER(FIND(".",Q194))),
"Valid","Invalid")</f>
        <v>Invalid</v>
      </c>
      <c r="V194">
        <f t="shared" si="13"/>
        <v>5</v>
      </c>
      <c r="W194" t="str">
        <f t="shared" si="14"/>
        <v>May</v>
      </c>
      <c r="X194">
        <f t="shared" si="15"/>
        <v>2023</v>
      </c>
      <c r="Y194">
        <f t="shared" ca="1" si="16"/>
        <v>2</v>
      </c>
      <c r="Z194" t="str" cm="1">
        <f t="array" ref="Z194">_xlfn.IFS(G194&lt;30,"20-29",G194&lt;40,"30-39",G194&lt;50,"40-49",G194&gt;=50,"50+")</f>
        <v>40-49</v>
      </c>
      <c r="AA194" t="str" cm="1">
        <f t="array" ref="AA194">_xlfn.IFS(L194&lt;500000,"Band 1: &lt;5L", L194&lt;1000000,"Band 2: 5-10L", L194&lt;1500000,"Band 3: 10-15L", L194&lt;2000000,"Band 4: 15-20L", L194&gt;=2000000,"Band 5: 20L+")</f>
        <v>Band 4: 15-20L</v>
      </c>
      <c r="AB194" t="str" cm="1">
        <f t="array" ref="AB194">_xlfn.IFS(N194=1,"Poor", N194=2,"Below Average", N194=3,"Average", N194=4,"Good", N194=5,"Excellent")</f>
        <v>Good</v>
      </c>
      <c r="AC194" s="14">
        <f t="shared" si="17"/>
        <v>114740.0334</v>
      </c>
      <c r="AD194" t="str" cm="1">
        <f t="array" ref="AD194">_xlfn.IFS(K194&lt;2,"Junior (0-2 yrs)", K194&lt;5,"Mid-Level (2-5 yrs)", K194&lt;10,"Senior (5-10 yrs)", K194&gt;=10,"Expert (10+ yrs)")</f>
        <v>Expert (10+ yrs)</v>
      </c>
    </row>
    <row r="195" spans="1:30" x14ac:dyDescent="0.3">
      <c r="A195" s="1" t="s">
        <v>1527</v>
      </c>
      <c r="B195" s="1" t="s">
        <v>1528</v>
      </c>
      <c r="C195" s="1" t="s">
        <v>69</v>
      </c>
      <c r="D195" s="1" t="s">
        <v>101</v>
      </c>
      <c r="E195" s="1" t="s">
        <v>155</v>
      </c>
      <c r="F195" s="1" t="s">
        <v>93</v>
      </c>
      <c r="G195" s="1">
        <v>46</v>
      </c>
      <c r="H195" s="1" t="s">
        <v>218</v>
      </c>
      <c r="I195" s="1" t="s">
        <v>198</v>
      </c>
      <c r="J195" s="5">
        <v>44960</v>
      </c>
      <c r="K195" s="8">
        <v>6.6</v>
      </c>
      <c r="L195" s="11">
        <v>2139398</v>
      </c>
      <c r="M195" s="12">
        <v>0.12230000000000001</v>
      </c>
      <c r="N195" s="7">
        <v>4</v>
      </c>
      <c r="O195" s="1" t="s">
        <v>76</v>
      </c>
      <c r="P195" s="1">
        <v>7522713644</v>
      </c>
      <c r="Q195" s="1" t="s">
        <v>2543</v>
      </c>
      <c r="R195" s="10">
        <v>40</v>
      </c>
      <c r="S195" s="10">
        <v>26</v>
      </c>
      <c r="T195" s="1" t="s">
        <v>419</v>
      </c>
      <c r="U195" t="str">
        <f t="shared" si="18"/>
        <v>Invalid</v>
      </c>
      <c r="V195">
        <f t="shared" ref="V195:V258" si="19">MONTH(J195)</f>
        <v>2</v>
      </c>
      <c r="W195" t="str">
        <f t="shared" ref="W195:W258" si="20">TEXT(J195, "MMM")</f>
        <v>Feb</v>
      </c>
      <c r="X195">
        <f t="shared" ref="X195:X258" si="21">YEAR(J195)</f>
        <v>2023</v>
      </c>
      <c r="Y195">
        <f t="shared" ref="Y195:Y258" ca="1" si="22">DATEDIF(J195,TODAY(), "Y")</f>
        <v>3</v>
      </c>
      <c r="Z195" t="str" cm="1">
        <f t="array" ref="Z195">_xlfn.IFS(G195&lt;30,"20-29",G195&lt;40,"30-39",G195&lt;50,"40-49",G195&gt;=50,"50+")</f>
        <v>40-49</v>
      </c>
      <c r="AA195" t="str" cm="1">
        <f t="array" ref="AA195">_xlfn.IFS(L195&lt;500000,"Band 1: &lt;5L", L195&lt;1000000,"Band 2: 5-10L", L195&lt;1500000,"Band 3: 10-15L", L195&lt;2000000,"Band 4: 15-20L", L195&gt;=2000000,"Band 5: 20L+")</f>
        <v>Band 5: 20L+</v>
      </c>
      <c r="AB195" t="str" cm="1">
        <f t="array" ref="AB195">_xlfn.IFS(N195=1,"Poor", N195=2,"Below Average", N195=3,"Average", N195=4,"Good", N195=5,"Excellent")</f>
        <v>Good</v>
      </c>
      <c r="AC195" s="14">
        <f t="shared" ref="AC195:AC258" si="23">L195*M195</f>
        <v>261648.37540000002</v>
      </c>
      <c r="AD195" t="str" cm="1">
        <f t="array" ref="AD195">_xlfn.IFS(K195&lt;2,"Junior (0-2 yrs)", K195&lt;5,"Mid-Level (2-5 yrs)", K195&lt;10,"Senior (5-10 yrs)", K195&gt;=10,"Expert (10+ yrs)")</f>
        <v>Senior (5-10 yrs)</v>
      </c>
    </row>
    <row r="196" spans="1:30" x14ac:dyDescent="0.3">
      <c r="A196" s="1" t="s">
        <v>1537</v>
      </c>
      <c r="B196" s="1" t="s">
        <v>2249</v>
      </c>
      <c r="C196" s="1" t="s">
        <v>124</v>
      </c>
      <c r="D196" s="1" t="s">
        <v>101</v>
      </c>
      <c r="E196" s="1" t="s">
        <v>155</v>
      </c>
      <c r="F196" s="1" t="s">
        <v>93</v>
      </c>
      <c r="G196" s="1">
        <v>52</v>
      </c>
      <c r="H196" s="1" t="s">
        <v>50</v>
      </c>
      <c r="I196" s="1" t="s">
        <v>39</v>
      </c>
      <c r="J196" s="5">
        <v>44777</v>
      </c>
      <c r="K196" s="8">
        <v>12</v>
      </c>
      <c r="L196" s="11">
        <v>1627557</v>
      </c>
      <c r="M196" s="12">
        <v>0.24239999999999998</v>
      </c>
      <c r="N196" s="7">
        <v>4</v>
      </c>
      <c r="O196" s="1" t="s">
        <v>76</v>
      </c>
      <c r="P196" s="1">
        <v>9866407741</v>
      </c>
      <c r="Q196" s="1" t="s">
        <v>2728</v>
      </c>
      <c r="R196" s="10">
        <v>9</v>
      </c>
      <c r="S196" s="10">
        <v>68</v>
      </c>
      <c r="T196" s="1" t="s">
        <v>201</v>
      </c>
      <c r="U196" t="str">
        <f t="shared" si="18"/>
        <v>Valid</v>
      </c>
      <c r="V196">
        <f t="shared" si="19"/>
        <v>8</v>
      </c>
      <c r="W196" t="str">
        <f t="shared" si="20"/>
        <v>Aug</v>
      </c>
      <c r="X196">
        <f t="shared" si="21"/>
        <v>2022</v>
      </c>
      <c r="Y196">
        <f t="shared" ca="1" si="22"/>
        <v>3</v>
      </c>
      <c r="Z196" t="str" cm="1">
        <f t="array" ref="Z196">_xlfn.IFS(G196&lt;30,"20-29",G196&lt;40,"30-39",G196&lt;50,"40-49",G196&gt;=50,"50+")</f>
        <v>50+</v>
      </c>
      <c r="AA196" t="str" cm="1">
        <f t="array" ref="AA196">_xlfn.IFS(L196&lt;500000,"Band 1: &lt;5L", L196&lt;1000000,"Band 2: 5-10L", L196&lt;1500000,"Band 3: 10-15L", L196&lt;2000000,"Band 4: 15-20L", L196&gt;=2000000,"Band 5: 20L+")</f>
        <v>Band 4: 15-20L</v>
      </c>
      <c r="AB196" t="str" cm="1">
        <f t="array" ref="AB196">_xlfn.IFS(N196=1,"Poor", N196=2,"Below Average", N196=3,"Average", N196=4,"Good", N196=5,"Excellent")</f>
        <v>Good</v>
      </c>
      <c r="AC196" s="14">
        <f t="shared" si="23"/>
        <v>394519.81679999997</v>
      </c>
      <c r="AD196" t="str" cm="1">
        <f t="array" ref="AD196">_xlfn.IFS(K196&lt;2,"Junior (0-2 yrs)", K196&lt;5,"Mid-Level (2-5 yrs)", K196&lt;10,"Senior (5-10 yrs)", K196&gt;=10,"Expert (10+ yrs)")</f>
        <v>Expert (10+ yrs)</v>
      </c>
    </row>
    <row r="197" spans="1:30" x14ac:dyDescent="0.3">
      <c r="A197" s="1" t="s">
        <v>1542</v>
      </c>
      <c r="B197" s="1" t="s">
        <v>1543</v>
      </c>
      <c r="C197" s="1" t="s">
        <v>132</v>
      </c>
      <c r="D197" s="1" t="s">
        <v>244</v>
      </c>
      <c r="E197" s="1" t="s">
        <v>24</v>
      </c>
      <c r="F197" s="1" t="s">
        <v>37</v>
      </c>
      <c r="G197" s="1">
        <v>48</v>
      </c>
      <c r="H197" s="1" t="s">
        <v>38</v>
      </c>
      <c r="I197" s="1" t="s">
        <v>39</v>
      </c>
      <c r="J197" s="5">
        <v>43979</v>
      </c>
      <c r="K197" s="8">
        <v>15.3</v>
      </c>
      <c r="L197" s="11">
        <v>718180</v>
      </c>
      <c r="M197" s="12">
        <v>8.77E-2</v>
      </c>
      <c r="N197" s="7">
        <v>4</v>
      </c>
      <c r="O197" s="1" t="s">
        <v>76</v>
      </c>
      <c r="P197" s="1">
        <v>8636725415</v>
      </c>
      <c r="Q197" s="1" t="s">
        <v>2729</v>
      </c>
      <c r="R197" s="10">
        <v>59</v>
      </c>
      <c r="S197" s="10">
        <v>105</v>
      </c>
      <c r="T197" s="1" t="s">
        <v>152</v>
      </c>
      <c r="U197" t="str">
        <f t="shared" si="18"/>
        <v>Valid</v>
      </c>
      <c r="V197">
        <f t="shared" si="19"/>
        <v>5</v>
      </c>
      <c r="W197" t="str">
        <f t="shared" si="20"/>
        <v>May</v>
      </c>
      <c r="X197">
        <f t="shared" si="21"/>
        <v>2020</v>
      </c>
      <c r="Y197">
        <f t="shared" ca="1" si="22"/>
        <v>5</v>
      </c>
      <c r="Z197" t="str" cm="1">
        <f t="array" ref="Z197">_xlfn.IFS(G197&lt;30,"20-29",G197&lt;40,"30-39",G197&lt;50,"40-49",G197&gt;=50,"50+")</f>
        <v>40-49</v>
      </c>
      <c r="AA197" t="str" cm="1">
        <f t="array" ref="AA197">_xlfn.IFS(L197&lt;500000,"Band 1: &lt;5L", L197&lt;1000000,"Band 2: 5-10L", L197&lt;1500000,"Band 3: 10-15L", L197&lt;2000000,"Band 4: 15-20L", L197&gt;=2000000,"Band 5: 20L+")</f>
        <v>Band 2: 5-10L</v>
      </c>
      <c r="AB197" t="str" cm="1">
        <f t="array" ref="AB197">_xlfn.IFS(N197=1,"Poor", N197=2,"Below Average", N197=3,"Average", N197=4,"Good", N197=5,"Excellent")</f>
        <v>Good</v>
      </c>
      <c r="AC197" s="14">
        <f t="shared" si="23"/>
        <v>62984.385999999999</v>
      </c>
      <c r="AD197" t="str" cm="1">
        <f t="array" ref="AD197">_xlfn.IFS(K197&lt;2,"Junior (0-2 yrs)", K197&lt;5,"Mid-Level (2-5 yrs)", K197&lt;10,"Senior (5-10 yrs)", K197&gt;=10,"Expert (10+ yrs)")</f>
        <v>Expert (10+ yrs)</v>
      </c>
    </row>
    <row r="198" spans="1:30" x14ac:dyDescent="0.3">
      <c r="A198" s="1" t="s">
        <v>1547</v>
      </c>
      <c r="B198" s="1" t="s">
        <v>1548</v>
      </c>
      <c r="C198" s="1" t="s">
        <v>46</v>
      </c>
      <c r="D198" s="1" t="s">
        <v>101</v>
      </c>
      <c r="E198" s="1" t="s">
        <v>189</v>
      </c>
      <c r="F198" s="1" t="s">
        <v>37</v>
      </c>
      <c r="G198" s="1">
        <v>28</v>
      </c>
      <c r="H198" s="1" t="s">
        <v>84</v>
      </c>
      <c r="I198" s="1" t="s">
        <v>74</v>
      </c>
      <c r="J198" s="5">
        <v>44930</v>
      </c>
      <c r="K198" s="8">
        <v>17.2</v>
      </c>
      <c r="L198" s="11">
        <v>708521</v>
      </c>
      <c r="M198" s="12">
        <v>0.12380000000000001</v>
      </c>
      <c r="N198" s="7">
        <v>4</v>
      </c>
      <c r="O198" s="1" t="s">
        <v>76</v>
      </c>
      <c r="P198" s="1">
        <v>7880745100</v>
      </c>
      <c r="Q198" s="1" t="s">
        <v>2730</v>
      </c>
      <c r="R198" s="10">
        <v>19</v>
      </c>
      <c r="S198" s="10">
        <v>39</v>
      </c>
      <c r="T198" s="1" t="s">
        <v>528</v>
      </c>
      <c r="U198" t="str">
        <f t="shared" si="18"/>
        <v>Valid</v>
      </c>
      <c r="V198">
        <f t="shared" si="19"/>
        <v>1</v>
      </c>
      <c r="W198" t="str">
        <f t="shared" si="20"/>
        <v>Jan</v>
      </c>
      <c r="X198">
        <f t="shared" si="21"/>
        <v>2023</v>
      </c>
      <c r="Y198">
        <f t="shared" ca="1" si="22"/>
        <v>3</v>
      </c>
      <c r="Z198" t="str" cm="1">
        <f t="array" ref="Z198">_xlfn.IFS(G198&lt;30,"20-29",G198&lt;40,"30-39",G198&lt;50,"40-49",G198&gt;=50,"50+")</f>
        <v>20-29</v>
      </c>
      <c r="AA198" t="str" cm="1">
        <f t="array" ref="AA198">_xlfn.IFS(L198&lt;500000,"Band 1: &lt;5L", L198&lt;1000000,"Band 2: 5-10L", L198&lt;1500000,"Band 3: 10-15L", L198&lt;2000000,"Band 4: 15-20L", L198&gt;=2000000,"Band 5: 20L+")</f>
        <v>Band 2: 5-10L</v>
      </c>
      <c r="AB198" t="str" cm="1">
        <f t="array" ref="AB198">_xlfn.IFS(N198=1,"Poor", N198=2,"Below Average", N198=3,"Average", N198=4,"Good", N198=5,"Excellent")</f>
        <v>Good</v>
      </c>
      <c r="AC198" s="14">
        <f t="shared" si="23"/>
        <v>87714.899799999999</v>
      </c>
      <c r="AD198" t="str" cm="1">
        <f t="array" ref="AD198">_xlfn.IFS(K198&lt;2,"Junior (0-2 yrs)", K198&lt;5,"Mid-Level (2-5 yrs)", K198&lt;10,"Senior (5-10 yrs)", K198&gt;=10,"Expert (10+ yrs)")</f>
        <v>Expert (10+ yrs)</v>
      </c>
    </row>
    <row r="199" spans="1:30" x14ac:dyDescent="0.3">
      <c r="A199" s="1" t="s">
        <v>1557</v>
      </c>
      <c r="B199" s="1" t="s">
        <v>1558</v>
      </c>
      <c r="C199" s="1" t="s">
        <v>132</v>
      </c>
      <c r="D199" s="1" t="s">
        <v>111</v>
      </c>
      <c r="E199" s="1" t="s">
        <v>168</v>
      </c>
      <c r="F199" s="1" t="s">
        <v>93</v>
      </c>
      <c r="G199" s="1">
        <v>58</v>
      </c>
      <c r="H199" s="1" t="s">
        <v>62</v>
      </c>
      <c r="I199" s="1" t="s">
        <v>51</v>
      </c>
      <c r="J199" s="5">
        <v>41265</v>
      </c>
      <c r="K199" s="8">
        <v>11.2</v>
      </c>
      <c r="L199" s="11">
        <v>551161</v>
      </c>
      <c r="M199" s="12">
        <v>7.1800000000000003E-2</v>
      </c>
      <c r="N199" s="7">
        <v>3</v>
      </c>
      <c r="O199" s="1" t="s">
        <v>41</v>
      </c>
      <c r="P199" s="1">
        <v>9722697824</v>
      </c>
      <c r="Q199" s="1" t="s">
        <v>2731</v>
      </c>
      <c r="R199" s="10">
        <v>76</v>
      </c>
      <c r="S199" s="10">
        <v>30</v>
      </c>
      <c r="T199" s="1" t="s">
        <v>166</v>
      </c>
      <c r="U199" t="str">
        <f t="shared" si="18"/>
        <v>Invalid</v>
      </c>
      <c r="V199">
        <f t="shared" si="19"/>
        <v>12</v>
      </c>
      <c r="W199" t="str">
        <f t="shared" si="20"/>
        <v>Dec</v>
      </c>
      <c r="X199">
        <f t="shared" si="21"/>
        <v>2012</v>
      </c>
      <c r="Y199">
        <f t="shared" ca="1" si="22"/>
        <v>13</v>
      </c>
      <c r="Z199" t="str" cm="1">
        <f t="array" ref="Z199">_xlfn.IFS(G199&lt;30,"20-29",G199&lt;40,"30-39",G199&lt;50,"40-49",G199&gt;=50,"50+")</f>
        <v>50+</v>
      </c>
      <c r="AA199" t="str" cm="1">
        <f t="array" ref="AA199">_xlfn.IFS(L199&lt;500000,"Band 1: &lt;5L", L199&lt;1000000,"Band 2: 5-10L", L199&lt;1500000,"Band 3: 10-15L", L199&lt;2000000,"Band 4: 15-20L", L199&gt;=2000000,"Band 5: 20L+")</f>
        <v>Band 2: 5-10L</v>
      </c>
      <c r="AB199" t="str" cm="1">
        <f t="array" ref="AB199">_xlfn.IFS(N199=1,"Poor", N199=2,"Below Average", N199=3,"Average", N199=4,"Good", N199=5,"Excellent")</f>
        <v>Average</v>
      </c>
      <c r="AC199" s="14">
        <f t="shared" si="23"/>
        <v>39573.359799999998</v>
      </c>
      <c r="AD199" t="str" cm="1">
        <f t="array" ref="AD199">_xlfn.IFS(K199&lt;2,"Junior (0-2 yrs)", K199&lt;5,"Mid-Level (2-5 yrs)", K199&lt;10,"Senior (5-10 yrs)", K199&gt;=10,"Expert (10+ yrs)")</f>
        <v>Expert (10+ yrs)</v>
      </c>
    </row>
    <row r="200" spans="1:30" x14ac:dyDescent="0.3">
      <c r="A200" s="1" t="s">
        <v>1562</v>
      </c>
      <c r="B200" s="1" t="s">
        <v>1563</v>
      </c>
      <c r="C200" s="1" t="s">
        <v>124</v>
      </c>
      <c r="D200" s="1" t="s">
        <v>23</v>
      </c>
      <c r="E200" s="1" t="s">
        <v>155</v>
      </c>
      <c r="F200" s="1" t="s">
        <v>37</v>
      </c>
      <c r="G200" s="1">
        <v>53</v>
      </c>
      <c r="H200" s="1" t="s">
        <v>73</v>
      </c>
      <c r="I200" s="1" t="s">
        <v>39</v>
      </c>
      <c r="J200" s="5">
        <v>44247</v>
      </c>
      <c r="K200" s="8">
        <v>18.399999999999999</v>
      </c>
      <c r="L200" s="11">
        <v>1926973</v>
      </c>
      <c r="M200" s="12">
        <v>6.2199999999999998E-2</v>
      </c>
      <c r="N200" s="7">
        <v>3</v>
      </c>
      <c r="O200" s="1" t="s">
        <v>76</v>
      </c>
      <c r="P200" s="1">
        <v>7889620495</v>
      </c>
      <c r="Q200" s="1" t="s">
        <v>2732</v>
      </c>
      <c r="R200" s="10">
        <v>29</v>
      </c>
      <c r="S200" s="10">
        <v>112</v>
      </c>
      <c r="T200" s="1" t="s">
        <v>66</v>
      </c>
      <c r="U200" t="str">
        <f t="shared" si="18"/>
        <v>Valid</v>
      </c>
      <c r="V200">
        <f t="shared" si="19"/>
        <v>2</v>
      </c>
      <c r="W200" t="str">
        <f t="shared" si="20"/>
        <v>Feb</v>
      </c>
      <c r="X200">
        <f t="shared" si="21"/>
        <v>2021</v>
      </c>
      <c r="Y200">
        <f t="shared" ca="1" si="22"/>
        <v>5</v>
      </c>
      <c r="Z200" t="str" cm="1">
        <f t="array" ref="Z200">_xlfn.IFS(G200&lt;30,"20-29",G200&lt;40,"30-39",G200&lt;50,"40-49",G200&gt;=50,"50+")</f>
        <v>50+</v>
      </c>
      <c r="AA200" t="str" cm="1">
        <f t="array" ref="AA200">_xlfn.IFS(L200&lt;500000,"Band 1: &lt;5L", L200&lt;1000000,"Band 2: 5-10L", L200&lt;1500000,"Band 3: 10-15L", L200&lt;2000000,"Band 4: 15-20L", L200&gt;=2000000,"Band 5: 20L+")</f>
        <v>Band 4: 15-20L</v>
      </c>
      <c r="AB200" t="str" cm="1">
        <f t="array" ref="AB200">_xlfn.IFS(N200=1,"Poor", N200=2,"Below Average", N200=3,"Average", N200=4,"Good", N200=5,"Excellent")</f>
        <v>Average</v>
      </c>
      <c r="AC200" s="14">
        <f t="shared" si="23"/>
        <v>119857.7206</v>
      </c>
      <c r="AD200" t="str" cm="1">
        <f t="array" ref="AD200">_xlfn.IFS(K200&lt;2,"Junior (0-2 yrs)", K200&lt;5,"Mid-Level (2-5 yrs)", K200&lt;10,"Senior (5-10 yrs)", K200&gt;=10,"Expert (10+ yrs)")</f>
        <v>Expert (10+ yrs)</v>
      </c>
    </row>
    <row r="201" spans="1:30" x14ac:dyDescent="0.3">
      <c r="A201" s="1" t="s">
        <v>1572</v>
      </c>
      <c r="B201" s="1" t="s">
        <v>1573</v>
      </c>
      <c r="C201" s="1" t="s">
        <v>69</v>
      </c>
      <c r="D201" s="1" t="s">
        <v>231</v>
      </c>
      <c r="E201" s="1" t="s">
        <v>168</v>
      </c>
      <c r="F201" s="1" t="s">
        <v>93</v>
      </c>
      <c r="G201" s="1">
        <v>23</v>
      </c>
      <c r="H201" s="1" t="s">
        <v>38</v>
      </c>
      <c r="I201" s="1" t="s">
        <v>39</v>
      </c>
      <c r="J201" s="5">
        <v>41565</v>
      </c>
      <c r="K201" s="8">
        <v>4.2</v>
      </c>
      <c r="L201" s="11">
        <v>1595402</v>
      </c>
      <c r="M201" s="12">
        <v>3.0099999999999998E-2</v>
      </c>
      <c r="N201" s="7">
        <v>1</v>
      </c>
      <c r="O201" s="1" t="s">
        <v>76</v>
      </c>
      <c r="P201" s="1">
        <v>7813449059</v>
      </c>
      <c r="Q201" s="1" t="s">
        <v>2733</v>
      </c>
      <c r="R201" s="10">
        <v>23</v>
      </c>
      <c r="S201" s="10">
        <v>35</v>
      </c>
      <c r="T201" s="1" t="s">
        <v>360</v>
      </c>
      <c r="U201" t="str">
        <f t="shared" si="18"/>
        <v>Invalid</v>
      </c>
      <c r="V201">
        <f t="shared" si="19"/>
        <v>10</v>
      </c>
      <c r="W201" t="str">
        <f t="shared" si="20"/>
        <v>Oct</v>
      </c>
      <c r="X201">
        <f t="shared" si="21"/>
        <v>2013</v>
      </c>
      <c r="Y201">
        <f t="shared" ca="1" si="22"/>
        <v>12</v>
      </c>
      <c r="Z201" t="str" cm="1">
        <f t="array" ref="Z201">_xlfn.IFS(G201&lt;30,"20-29",G201&lt;40,"30-39",G201&lt;50,"40-49",G201&gt;=50,"50+")</f>
        <v>20-29</v>
      </c>
      <c r="AA201" t="str" cm="1">
        <f t="array" ref="AA201">_xlfn.IFS(L201&lt;500000,"Band 1: &lt;5L", L201&lt;1000000,"Band 2: 5-10L", L201&lt;1500000,"Band 3: 10-15L", L201&lt;2000000,"Band 4: 15-20L", L201&gt;=2000000,"Band 5: 20L+")</f>
        <v>Band 4: 15-20L</v>
      </c>
      <c r="AB201" t="str" cm="1">
        <f t="array" ref="AB201">_xlfn.IFS(N201=1,"Poor", N201=2,"Below Average", N201=3,"Average", N201=4,"Good", N201=5,"Excellent")</f>
        <v>Poor</v>
      </c>
      <c r="AC201" s="14">
        <f t="shared" si="23"/>
        <v>48021.600200000001</v>
      </c>
      <c r="AD201" t="str" cm="1">
        <f t="array" ref="AD201">_xlfn.IFS(K201&lt;2,"Junior (0-2 yrs)", K201&lt;5,"Mid-Level (2-5 yrs)", K201&lt;10,"Senior (5-10 yrs)", K201&gt;=10,"Expert (10+ yrs)")</f>
        <v>Mid-Level (2-5 yrs)</v>
      </c>
    </row>
    <row r="202" spans="1:30" x14ac:dyDescent="0.3">
      <c r="A202" s="1" t="s">
        <v>1577</v>
      </c>
      <c r="B202" s="1" t="s">
        <v>2515</v>
      </c>
      <c r="C202" s="1" t="s">
        <v>46</v>
      </c>
      <c r="D202" s="1" t="s">
        <v>244</v>
      </c>
      <c r="E202" s="1" t="s">
        <v>24</v>
      </c>
      <c r="F202" s="1" t="s">
        <v>93</v>
      </c>
      <c r="G202" s="1">
        <v>51</v>
      </c>
      <c r="H202" s="1" t="s">
        <v>62</v>
      </c>
      <c r="I202" s="1" t="s">
        <v>198</v>
      </c>
      <c r="J202" s="5">
        <v>42272</v>
      </c>
      <c r="K202" s="8">
        <v>24.6</v>
      </c>
      <c r="L202" s="11">
        <v>1823968</v>
      </c>
      <c r="M202" s="12">
        <v>5.0000000000000001E-4</v>
      </c>
      <c r="N202" s="7">
        <v>4</v>
      </c>
      <c r="O202" s="1" t="s">
        <v>41</v>
      </c>
      <c r="P202" s="1">
        <v>8943612110</v>
      </c>
      <c r="Q202" s="1" t="s">
        <v>2734</v>
      </c>
      <c r="R202" s="10">
        <v>37</v>
      </c>
      <c r="S202" s="10">
        <v>47</v>
      </c>
      <c r="T202" s="1" t="s">
        <v>172</v>
      </c>
      <c r="U202" t="str">
        <f t="shared" si="18"/>
        <v>Valid</v>
      </c>
      <c r="V202">
        <f t="shared" si="19"/>
        <v>9</v>
      </c>
      <c r="W202" t="str">
        <f t="shared" si="20"/>
        <v>Sep</v>
      </c>
      <c r="X202">
        <f t="shared" si="21"/>
        <v>2015</v>
      </c>
      <c r="Y202">
        <f t="shared" ca="1" si="22"/>
        <v>10</v>
      </c>
      <c r="Z202" t="str" cm="1">
        <f t="array" ref="Z202">_xlfn.IFS(G202&lt;30,"20-29",G202&lt;40,"30-39",G202&lt;50,"40-49",G202&gt;=50,"50+")</f>
        <v>50+</v>
      </c>
      <c r="AA202" t="str" cm="1">
        <f t="array" ref="AA202">_xlfn.IFS(L202&lt;500000,"Band 1: &lt;5L", L202&lt;1000000,"Band 2: 5-10L", L202&lt;1500000,"Band 3: 10-15L", L202&lt;2000000,"Band 4: 15-20L", L202&gt;=2000000,"Band 5: 20L+")</f>
        <v>Band 4: 15-20L</v>
      </c>
      <c r="AB202" t="str" cm="1">
        <f t="array" ref="AB202">_xlfn.IFS(N202=1,"Poor", N202=2,"Below Average", N202=3,"Average", N202=4,"Good", N202=5,"Excellent")</f>
        <v>Good</v>
      </c>
      <c r="AC202" s="14">
        <f t="shared" si="23"/>
        <v>911.98400000000004</v>
      </c>
      <c r="AD202" t="str" cm="1">
        <f t="array" ref="AD202">_xlfn.IFS(K202&lt;2,"Junior (0-2 yrs)", K202&lt;5,"Mid-Level (2-5 yrs)", K202&lt;10,"Senior (5-10 yrs)", K202&gt;=10,"Expert (10+ yrs)")</f>
        <v>Expert (10+ yrs)</v>
      </c>
    </row>
    <row r="203" spans="1:30" x14ac:dyDescent="0.3">
      <c r="A203" s="1" t="s">
        <v>1581</v>
      </c>
      <c r="B203" s="1" t="s">
        <v>1582</v>
      </c>
      <c r="C203" s="1" t="s">
        <v>58</v>
      </c>
      <c r="D203" s="1" t="s">
        <v>83</v>
      </c>
      <c r="E203" s="1" t="s">
        <v>48</v>
      </c>
      <c r="F203" s="1" t="s">
        <v>93</v>
      </c>
      <c r="G203" s="1">
        <v>49</v>
      </c>
      <c r="H203" s="1" t="s">
        <v>84</v>
      </c>
      <c r="I203" s="1" t="s">
        <v>27</v>
      </c>
      <c r="J203" s="5">
        <v>43456</v>
      </c>
      <c r="K203" s="8">
        <v>6.8</v>
      </c>
      <c r="L203" s="11">
        <v>859338</v>
      </c>
      <c r="M203" s="12">
        <v>0.1467</v>
      </c>
      <c r="N203" s="7">
        <v>4</v>
      </c>
      <c r="O203" s="1" t="s">
        <v>76</v>
      </c>
      <c r="P203" s="1">
        <v>8748661598</v>
      </c>
      <c r="Q203" s="1" t="s">
        <v>2735</v>
      </c>
      <c r="R203" s="10">
        <v>78</v>
      </c>
      <c r="S203" s="10">
        <v>96</v>
      </c>
      <c r="T203" s="1" t="s">
        <v>516</v>
      </c>
      <c r="U203" t="str">
        <f t="shared" si="18"/>
        <v>Valid</v>
      </c>
      <c r="V203">
        <f t="shared" si="19"/>
        <v>12</v>
      </c>
      <c r="W203" t="str">
        <f t="shared" si="20"/>
        <v>Dec</v>
      </c>
      <c r="X203">
        <f t="shared" si="21"/>
        <v>2018</v>
      </c>
      <c r="Y203">
        <f t="shared" ca="1" si="22"/>
        <v>7</v>
      </c>
      <c r="Z203" t="str" cm="1">
        <f t="array" ref="Z203">_xlfn.IFS(G203&lt;30,"20-29",G203&lt;40,"30-39",G203&lt;50,"40-49",G203&gt;=50,"50+")</f>
        <v>40-49</v>
      </c>
      <c r="AA203" t="str" cm="1">
        <f t="array" ref="AA203">_xlfn.IFS(L203&lt;500000,"Band 1: &lt;5L", L203&lt;1000000,"Band 2: 5-10L", L203&lt;1500000,"Band 3: 10-15L", L203&lt;2000000,"Band 4: 15-20L", L203&gt;=2000000,"Band 5: 20L+")</f>
        <v>Band 2: 5-10L</v>
      </c>
      <c r="AB203" t="str" cm="1">
        <f t="array" ref="AB203">_xlfn.IFS(N203=1,"Poor", N203=2,"Below Average", N203=3,"Average", N203=4,"Good", N203=5,"Excellent")</f>
        <v>Good</v>
      </c>
      <c r="AC203" s="14">
        <f t="shared" si="23"/>
        <v>126064.88459999999</v>
      </c>
      <c r="AD203" t="str" cm="1">
        <f t="array" ref="AD203">_xlfn.IFS(K203&lt;2,"Junior (0-2 yrs)", K203&lt;5,"Mid-Level (2-5 yrs)", K203&lt;10,"Senior (5-10 yrs)", K203&gt;=10,"Expert (10+ yrs)")</f>
        <v>Senior (5-10 yrs)</v>
      </c>
    </row>
    <row r="204" spans="1:30" x14ac:dyDescent="0.3">
      <c r="A204" s="1" t="s">
        <v>1586</v>
      </c>
      <c r="B204" s="1" t="s">
        <v>1587</v>
      </c>
      <c r="C204" s="1" t="s">
        <v>132</v>
      </c>
      <c r="D204" s="1" t="s">
        <v>244</v>
      </c>
      <c r="E204" s="1" t="s">
        <v>175</v>
      </c>
      <c r="F204" s="1" t="s">
        <v>93</v>
      </c>
      <c r="G204" s="1">
        <v>51</v>
      </c>
      <c r="H204" s="1" t="s">
        <v>26</v>
      </c>
      <c r="I204" s="1" t="s">
        <v>39</v>
      </c>
      <c r="J204" s="5">
        <v>45227</v>
      </c>
      <c r="K204" s="8">
        <v>9.6999999999999993</v>
      </c>
      <c r="L204" s="11">
        <v>2490873</v>
      </c>
      <c r="M204" s="12">
        <v>0.1444</v>
      </c>
      <c r="N204" s="7">
        <v>4</v>
      </c>
      <c r="O204" s="1" t="s">
        <v>41</v>
      </c>
      <c r="P204" s="1">
        <v>9235864235</v>
      </c>
      <c r="Q204" s="1" t="s">
        <v>2736</v>
      </c>
      <c r="R204" s="10">
        <v>26</v>
      </c>
      <c r="S204" s="10">
        <v>24</v>
      </c>
      <c r="T204" s="1" t="s">
        <v>241</v>
      </c>
      <c r="U204" t="str">
        <f t="shared" si="18"/>
        <v>Valid</v>
      </c>
      <c r="V204">
        <f t="shared" si="19"/>
        <v>10</v>
      </c>
      <c r="W204" t="str">
        <f t="shared" si="20"/>
        <v>Oct</v>
      </c>
      <c r="X204">
        <f t="shared" si="21"/>
        <v>2023</v>
      </c>
      <c r="Y204">
        <f t="shared" ca="1" si="22"/>
        <v>2</v>
      </c>
      <c r="Z204" t="str" cm="1">
        <f t="array" ref="Z204">_xlfn.IFS(G204&lt;30,"20-29",G204&lt;40,"30-39",G204&lt;50,"40-49",G204&gt;=50,"50+")</f>
        <v>50+</v>
      </c>
      <c r="AA204" t="str" cm="1">
        <f t="array" ref="AA204">_xlfn.IFS(L204&lt;500000,"Band 1: &lt;5L", L204&lt;1000000,"Band 2: 5-10L", L204&lt;1500000,"Band 3: 10-15L", L204&lt;2000000,"Band 4: 15-20L", L204&gt;=2000000,"Band 5: 20L+")</f>
        <v>Band 5: 20L+</v>
      </c>
      <c r="AB204" t="str" cm="1">
        <f t="array" ref="AB204">_xlfn.IFS(N204=1,"Poor", N204=2,"Below Average", N204=3,"Average", N204=4,"Good", N204=5,"Excellent")</f>
        <v>Good</v>
      </c>
      <c r="AC204" s="14">
        <f t="shared" si="23"/>
        <v>359682.0612</v>
      </c>
      <c r="AD204" t="str" cm="1">
        <f t="array" ref="AD204">_xlfn.IFS(K204&lt;2,"Junior (0-2 yrs)", K204&lt;5,"Mid-Level (2-5 yrs)", K204&lt;10,"Senior (5-10 yrs)", K204&gt;=10,"Expert (10+ yrs)")</f>
        <v>Senior (5-10 yrs)</v>
      </c>
    </row>
    <row r="205" spans="1:30" x14ac:dyDescent="0.3">
      <c r="A205" s="1" t="s">
        <v>1591</v>
      </c>
      <c r="B205" s="1" t="s">
        <v>1592</v>
      </c>
      <c r="C205" s="1" t="s">
        <v>46</v>
      </c>
      <c r="D205" s="1" t="s">
        <v>23</v>
      </c>
      <c r="E205" s="1" t="s">
        <v>36</v>
      </c>
      <c r="F205" s="1" t="s">
        <v>37</v>
      </c>
      <c r="G205" s="1">
        <v>43</v>
      </c>
      <c r="H205" s="1" t="s">
        <v>218</v>
      </c>
      <c r="I205" s="1" t="s">
        <v>39</v>
      </c>
      <c r="J205" s="5">
        <v>41384</v>
      </c>
      <c r="K205" s="8">
        <v>21.5</v>
      </c>
      <c r="L205" s="11">
        <v>2107331</v>
      </c>
      <c r="M205" s="12">
        <v>7.7399999999999997E-2</v>
      </c>
      <c r="N205" s="7">
        <v>3</v>
      </c>
      <c r="O205" s="1" t="s">
        <v>41</v>
      </c>
      <c r="P205" s="1">
        <v>7418355752</v>
      </c>
      <c r="Q205" s="1" t="s">
        <v>2737</v>
      </c>
      <c r="R205" s="10">
        <v>11</v>
      </c>
      <c r="S205" s="10">
        <v>58</v>
      </c>
      <c r="T205" s="1" t="s">
        <v>1061</v>
      </c>
      <c r="U205" t="str">
        <f t="shared" si="18"/>
        <v>Valid</v>
      </c>
      <c r="V205">
        <f t="shared" si="19"/>
        <v>4</v>
      </c>
      <c r="W205" t="str">
        <f t="shared" si="20"/>
        <v>Apr</v>
      </c>
      <c r="X205">
        <f t="shared" si="21"/>
        <v>2013</v>
      </c>
      <c r="Y205">
        <f t="shared" ca="1" si="22"/>
        <v>12</v>
      </c>
      <c r="Z205" t="str" cm="1">
        <f t="array" ref="Z205">_xlfn.IFS(G205&lt;30,"20-29",G205&lt;40,"30-39",G205&lt;50,"40-49",G205&gt;=50,"50+")</f>
        <v>40-49</v>
      </c>
      <c r="AA205" t="str" cm="1">
        <f t="array" ref="AA205">_xlfn.IFS(L205&lt;500000,"Band 1: &lt;5L", L205&lt;1000000,"Band 2: 5-10L", L205&lt;1500000,"Band 3: 10-15L", L205&lt;2000000,"Band 4: 15-20L", L205&gt;=2000000,"Band 5: 20L+")</f>
        <v>Band 5: 20L+</v>
      </c>
      <c r="AB205" t="str" cm="1">
        <f t="array" ref="AB205">_xlfn.IFS(N205=1,"Poor", N205=2,"Below Average", N205=3,"Average", N205=4,"Good", N205=5,"Excellent")</f>
        <v>Average</v>
      </c>
      <c r="AC205" s="14">
        <f t="shared" si="23"/>
        <v>163107.41939999998</v>
      </c>
      <c r="AD205" t="str" cm="1">
        <f t="array" ref="AD205">_xlfn.IFS(K205&lt;2,"Junior (0-2 yrs)", K205&lt;5,"Mid-Level (2-5 yrs)", K205&lt;10,"Senior (5-10 yrs)", K205&gt;=10,"Expert (10+ yrs)")</f>
        <v>Expert (10+ yrs)</v>
      </c>
    </row>
    <row r="206" spans="1:30" x14ac:dyDescent="0.3">
      <c r="A206" s="1" t="s">
        <v>1599</v>
      </c>
      <c r="B206" s="1" t="s">
        <v>1600</v>
      </c>
      <c r="C206" s="1" t="s">
        <v>132</v>
      </c>
      <c r="D206" s="1" t="s">
        <v>101</v>
      </c>
      <c r="E206" s="1" t="s">
        <v>60</v>
      </c>
      <c r="F206" s="1" t="s">
        <v>93</v>
      </c>
      <c r="G206" s="1">
        <v>31</v>
      </c>
      <c r="H206" s="1" t="s">
        <v>84</v>
      </c>
      <c r="I206" s="1" t="s">
        <v>39</v>
      </c>
      <c r="J206" s="5">
        <v>42647</v>
      </c>
      <c r="K206" s="8">
        <v>11.5</v>
      </c>
      <c r="L206" s="11">
        <v>1830458</v>
      </c>
      <c r="M206" s="12">
        <v>4.36E-2</v>
      </c>
      <c r="N206" s="7">
        <v>3</v>
      </c>
      <c r="O206" s="1" t="s">
        <v>41</v>
      </c>
      <c r="P206" s="1">
        <v>8876335418</v>
      </c>
      <c r="Q206" s="1" t="s">
        <v>2738</v>
      </c>
      <c r="R206" s="10">
        <v>78</v>
      </c>
      <c r="S206" s="10">
        <v>28</v>
      </c>
      <c r="T206" s="1" t="s">
        <v>933</v>
      </c>
      <c r="U206" t="str">
        <f t="shared" si="18"/>
        <v>Valid</v>
      </c>
      <c r="V206">
        <f t="shared" si="19"/>
        <v>10</v>
      </c>
      <c r="W206" t="str">
        <f t="shared" si="20"/>
        <v>Oct</v>
      </c>
      <c r="X206">
        <f t="shared" si="21"/>
        <v>2016</v>
      </c>
      <c r="Y206">
        <f t="shared" ca="1" si="22"/>
        <v>9</v>
      </c>
      <c r="Z206" t="str" cm="1">
        <f t="array" ref="Z206">_xlfn.IFS(G206&lt;30,"20-29",G206&lt;40,"30-39",G206&lt;50,"40-49",G206&gt;=50,"50+")</f>
        <v>30-39</v>
      </c>
      <c r="AA206" t="str" cm="1">
        <f t="array" ref="AA206">_xlfn.IFS(L206&lt;500000,"Band 1: &lt;5L", L206&lt;1000000,"Band 2: 5-10L", L206&lt;1500000,"Band 3: 10-15L", L206&lt;2000000,"Band 4: 15-20L", L206&gt;=2000000,"Band 5: 20L+")</f>
        <v>Band 4: 15-20L</v>
      </c>
      <c r="AB206" t="str" cm="1">
        <f t="array" ref="AB206">_xlfn.IFS(N206=1,"Poor", N206=2,"Below Average", N206=3,"Average", N206=4,"Good", N206=5,"Excellent")</f>
        <v>Average</v>
      </c>
      <c r="AC206" s="14">
        <f t="shared" si="23"/>
        <v>79807.968800000002</v>
      </c>
      <c r="AD206" t="str" cm="1">
        <f t="array" ref="AD206">_xlfn.IFS(K206&lt;2,"Junior (0-2 yrs)", K206&lt;5,"Mid-Level (2-5 yrs)", K206&lt;10,"Senior (5-10 yrs)", K206&gt;=10,"Expert (10+ yrs)")</f>
        <v>Expert (10+ yrs)</v>
      </c>
    </row>
    <row r="207" spans="1:30" x14ac:dyDescent="0.3">
      <c r="A207" s="1" t="s">
        <v>1604</v>
      </c>
      <c r="B207" s="1" t="s">
        <v>1605</v>
      </c>
      <c r="C207" s="1" t="s">
        <v>69</v>
      </c>
      <c r="D207" s="1" t="s">
        <v>23</v>
      </c>
      <c r="E207" s="1" t="s">
        <v>71</v>
      </c>
      <c r="F207" s="1" t="s">
        <v>37</v>
      </c>
      <c r="G207" s="1">
        <v>39</v>
      </c>
      <c r="H207" s="1" t="s">
        <v>204</v>
      </c>
      <c r="I207" s="1" t="s">
        <v>39</v>
      </c>
      <c r="J207" s="5">
        <v>44404</v>
      </c>
      <c r="K207" s="8">
        <v>12.7</v>
      </c>
      <c r="L207" s="11">
        <v>2362305</v>
      </c>
      <c r="M207" s="12">
        <v>0.13689999999999999</v>
      </c>
      <c r="N207" s="7">
        <v>3</v>
      </c>
      <c r="O207" s="1" t="s">
        <v>76</v>
      </c>
      <c r="P207" s="1">
        <v>7285045092</v>
      </c>
      <c r="Q207" s="1" t="s">
        <v>2739</v>
      </c>
      <c r="R207" s="10">
        <v>3</v>
      </c>
      <c r="S207" s="10">
        <v>82</v>
      </c>
      <c r="T207" s="1" t="s">
        <v>152</v>
      </c>
      <c r="U207" t="str">
        <f t="shared" si="18"/>
        <v>Invalid</v>
      </c>
      <c r="V207">
        <f t="shared" si="19"/>
        <v>7</v>
      </c>
      <c r="W207" t="str">
        <f t="shared" si="20"/>
        <v>Jul</v>
      </c>
      <c r="X207">
        <f t="shared" si="21"/>
        <v>2021</v>
      </c>
      <c r="Y207">
        <f t="shared" ca="1" si="22"/>
        <v>4</v>
      </c>
      <c r="Z207" t="str" cm="1">
        <f t="array" ref="Z207">_xlfn.IFS(G207&lt;30,"20-29",G207&lt;40,"30-39",G207&lt;50,"40-49",G207&gt;=50,"50+")</f>
        <v>30-39</v>
      </c>
      <c r="AA207" t="str" cm="1">
        <f t="array" ref="AA207">_xlfn.IFS(L207&lt;500000,"Band 1: &lt;5L", L207&lt;1000000,"Band 2: 5-10L", L207&lt;1500000,"Band 3: 10-15L", L207&lt;2000000,"Band 4: 15-20L", L207&gt;=2000000,"Band 5: 20L+")</f>
        <v>Band 5: 20L+</v>
      </c>
      <c r="AB207" t="str" cm="1">
        <f t="array" ref="AB207">_xlfn.IFS(N207=1,"Poor", N207=2,"Below Average", N207=3,"Average", N207=4,"Good", N207=5,"Excellent")</f>
        <v>Average</v>
      </c>
      <c r="AC207" s="14">
        <f t="shared" si="23"/>
        <v>323399.55449999997</v>
      </c>
      <c r="AD207" t="str" cm="1">
        <f t="array" ref="AD207">_xlfn.IFS(K207&lt;2,"Junior (0-2 yrs)", K207&lt;5,"Mid-Level (2-5 yrs)", K207&lt;10,"Senior (5-10 yrs)", K207&gt;=10,"Expert (10+ yrs)")</f>
        <v>Expert (10+ yrs)</v>
      </c>
    </row>
    <row r="208" spans="1:30" x14ac:dyDescent="0.3">
      <c r="A208" s="1" t="s">
        <v>1609</v>
      </c>
      <c r="B208" s="1" t="s">
        <v>1610</v>
      </c>
      <c r="C208" s="1" t="s">
        <v>58</v>
      </c>
      <c r="D208" s="1" t="s">
        <v>244</v>
      </c>
      <c r="E208" s="1" t="s">
        <v>48</v>
      </c>
      <c r="F208" s="1" t="s">
        <v>93</v>
      </c>
      <c r="G208" s="1">
        <v>51</v>
      </c>
      <c r="H208" s="1" t="s">
        <v>142</v>
      </c>
      <c r="I208" s="1" t="s">
        <v>51</v>
      </c>
      <c r="J208" s="5">
        <v>41545</v>
      </c>
      <c r="K208" s="8">
        <v>11.9</v>
      </c>
      <c r="L208" s="11">
        <v>588748</v>
      </c>
      <c r="M208" s="12">
        <v>0.21940000000000001</v>
      </c>
      <c r="N208" s="7">
        <v>3</v>
      </c>
      <c r="O208" s="1" t="s">
        <v>41</v>
      </c>
      <c r="P208" s="1">
        <v>7413599241</v>
      </c>
      <c r="Q208" s="1" t="s">
        <v>2740</v>
      </c>
      <c r="R208" s="10">
        <v>15</v>
      </c>
      <c r="S208" s="10">
        <v>84</v>
      </c>
      <c r="T208" s="1" t="s">
        <v>425</v>
      </c>
      <c r="U208" t="str">
        <f t="shared" si="18"/>
        <v>Valid</v>
      </c>
      <c r="V208">
        <f t="shared" si="19"/>
        <v>9</v>
      </c>
      <c r="W208" t="str">
        <f t="shared" si="20"/>
        <v>Sep</v>
      </c>
      <c r="X208">
        <f t="shared" si="21"/>
        <v>2013</v>
      </c>
      <c r="Y208">
        <f t="shared" ca="1" si="22"/>
        <v>12</v>
      </c>
      <c r="Z208" t="str" cm="1">
        <f t="array" ref="Z208">_xlfn.IFS(G208&lt;30,"20-29",G208&lt;40,"30-39",G208&lt;50,"40-49",G208&gt;=50,"50+")</f>
        <v>50+</v>
      </c>
      <c r="AA208" t="str" cm="1">
        <f t="array" ref="AA208">_xlfn.IFS(L208&lt;500000,"Band 1: &lt;5L", L208&lt;1000000,"Band 2: 5-10L", L208&lt;1500000,"Band 3: 10-15L", L208&lt;2000000,"Band 4: 15-20L", L208&gt;=2000000,"Band 5: 20L+")</f>
        <v>Band 2: 5-10L</v>
      </c>
      <c r="AB208" t="str" cm="1">
        <f t="array" ref="AB208">_xlfn.IFS(N208=1,"Poor", N208=2,"Below Average", N208=3,"Average", N208=4,"Good", N208=5,"Excellent")</f>
        <v>Average</v>
      </c>
      <c r="AC208" s="14">
        <f t="shared" si="23"/>
        <v>129171.31120000001</v>
      </c>
      <c r="AD208" t="str" cm="1">
        <f t="array" ref="AD208">_xlfn.IFS(K208&lt;2,"Junior (0-2 yrs)", K208&lt;5,"Mid-Level (2-5 yrs)", K208&lt;10,"Senior (5-10 yrs)", K208&gt;=10,"Expert (10+ yrs)")</f>
        <v>Expert (10+ yrs)</v>
      </c>
    </row>
    <row r="209" spans="1:30" x14ac:dyDescent="0.3">
      <c r="A209" s="1" t="s">
        <v>1614</v>
      </c>
      <c r="B209" s="1" t="s">
        <v>1170</v>
      </c>
      <c r="C209" s="1" t="s">
        <v>58</v>
      </c>
      <c r="D209" s="1" t="s">
        <v>83</v>
      </c>
      <c r="E209" s="1" t="s">
        <v>175</v>
      </c>
      <c r="F209" s="1" t="s">
        <v>37</v>
      </c>
      <c r="G209" s="1">
        <v>39</v>
      </c>
      <c r="H209" s="1" t="s">
        <v>218</v>
      </c>
      <c r="I209" s="1" t="s">
        <v>27</v>
      </c>
      <c r="J209" s="5">
        <v>41462</v>
      </c>
      <c r="K209" s="8">
        <v>26.9</v>
      </c>
      <c r="L209" s="11">
        <v>453530</v>
      </c>
      <c r="M209" s="12">
        <v>7.3800000000000004E-2</v>
      </c>
      <c r="N209" s="7">
        <v>3</v>
      </c>
      <c r="O209" s="1" t="s">
        <v>41</v>
      </c>
      <c r="P209" s="1">
        <v>8093194763</v>
      </c>
      <c r="Q209" s="1" t="s">
        <v>2741</v>
      </c>
      <c r="R209" s="10">
        <v>29</v>
      </c>
      <c r="S209" s="10">
        <v>59</v>
      </c>
      <c r="T209" s="1" t="s">
        <v>1100</v>
      </c>
      <c r="U209" t="str">
        <f t="shared" si="18"/>
        <v>Valid</v>
      </c>
      <c r="V209">
        <f t="shared" si="19"/>
        <v>7</v>
      </c>
      <c r="W209" t="str">
        <f t="shared" si="20"/>
        <v>Jul</v>
      </c>
      <c r="X209">
        <f t="shared" si="21"/>
        <v>2013</v>
      </c>
      <c r="Y209">
        <f t="shared" ca="1" si="22"/>
        <v>12</v>
      </c>
      <c r="Z209" t="str" cm="1">
        <f t="array" ref="Z209">_xlfn.IFS(G209&lt;30,"20-29",G209&lt;40,"30-39",G209&lt;50,"40-49",G209&gt;=50,"50+")</f>
        <v>30-39</v>
      </c>
      <c r="AA209" t="str" cm="1">
        <f t="array" ref="AA209">_xlfn.IFS(L209&lt;500000,"Band 1: &lt;5L", L209&lt;1000000,"Band 2: 5-10L", L209&lt;1500000,"Band 3: 10-15L", L209&lt;2000000,"Band 4: 15-20L", L209&gt;=2000000,"Band 5: 20L+")</f>
        <v>Band 1: &lt;5L</v>
      </c>
      <c r="AB209" t="str" cm="1">
        <f t="array" ref="AB209">_xlfn.IFS(N209=1,"Poor", N209=2,"Below Average", N209=3,"Average", N209=4,"Good", N209=5,"Excellent")</f>
        <v>Average</v>
      </c>
      <c r="AC209" s="14">
        <f t="shared" si="23"/>
        <v>33470.514000000003</v>
      </c>
      <c r="AD209" t="str" cm="1">
        <f t="array" ref="AD209">_xlfn.IFS(K209&lt;2,"Junior (0-2 yrs)", K209&lt;5,"Mid-Level (2-5 yrs)", K209&lt;10,"Senior (5-10 yrs)", K209&gt;=10,"Expert (10+ yrs)")</f>
        <v>Expert (10+ yrs)</v>
      </c>
    </row>
    <row r="210" spans="1:30" x14ac:dyDescent="0.3">
      <c r="A210" s="1" t="s">
        <v>1618</v>
      </c>
      <c r="B210" s="1" t="s">
        <v>1619</v>
      </c>
      <c r="C210" s="1" t="s">
        <v>110</v>
      </c>
      <c r="D210" s="1" t="s">
        <v>101</v>
      </c>
      <c r="E210" s="1" t="s">
        <v>92</v>
      </c>
      <c r="F210" s="1" t="s">
        <v>93</v>
      </c>
      <c r="G210" s="1">
        <v>53</v>
      </c>
      <c r="H210" s="1" t="s">
        <v>218</v>
      </c>
      <c r="I210" s="1" t="s">
        <v>39</v>
      </c>
      <c r="J210" s="5">
        <v>41177</v>
      </c>
      <c r="K210" s="8">
        <v>5.8</v>
      </c>
      <c r="L210" s="11">
        <v>1141667</v>
      </c>
      <c r="M210" s="12">
        <v>0.18190000000000001</v>
      </c>
      <c r="N210" s="7">
        <v>5</v>
      </c>
      <c r="O210" s="1" t="s">
        <v>41</v>
      </c>
      <c r="P210" s="1">
        <v>8112380464</v>
      </c>
      <c r="Q210" s="1" t="s">
        <v>2742</v>
      </c>
      <c r="R210" s="10">
        <v>2</v>
      </c>
      <c r="S210" s="10">
        <v>19</v>
      </c>
      <c r="T210" s="1" t="s">
        <v>938</v>
      </c>
      <c r="U210" t="str">
        <f t="shared" si="18"/>
        <v>Valid</v>
      </c>
      <c r="V210">
        <f t="shared" si="19"/>
        <v>9</v>
      </c>
      <c r="W210" t="str">
        <f t="shared" si="20"/>
        <v>Sep</v>
      </c>
      <c r="X210">
        <f t="shared" si="21"/>
        <v>2012</v>
      </c>
      <c r="Y210">
        <f t="shared" ca="1" si="22"/>
        <v>13</v>
      </c>
      <c r="Z210" t="str" cm="1">
        <f t="array" ref="Z210">_xlfn.IFS(G210&lt;30,"20-29",G210&lt;40,"30-39",G210&lt;50,"40-49",G210&gt;=50,"50+")</f>
        <v>50+</v>
      </c>
      <c r="AA210" t="str" cm="1">
        <f t="array" ref="AA210">_xlfn.IFS(L210&lt;500000,"Band 1: &lt;5L", L210&lt;1000000,"Band 2: 5-10L", L210&lt;1500000,"Band 3: 10-15L", L210&lt;2000000,"Band 4: 15-20L", L210&gt;=2000000,"Band 5: 20L+")</f>
        <v>Band 3: 10-15L</v>
      </c>
      <c r="AB210" t="str" cm="1">
        <f t="array" ref="AB210">_xlfn.IFS(N210=1,"Poor", N210=2,"Below Average", N210=3,"Average", N210=4,"Good", N210=5,"Excellent")</f>
        <v>Excellent</v>
      </c>
      <c r="AC210" s="14">
        <f t="shared" si="23"/>
        <v>207669.2273</v>
      </c>
      <c r="AD210" t="str" cm="1">
        <f t="array" ref="AD210">_xlfn.IFS(K210&lt;2,"Junior (0-2 yrs)", K210&lt;5,"Mid-Level (2-5 yrs)", K210&lt;10,"Senior (5-10 yrs)", K210&gt;=10,"Expert (10+ yrs)")</f>
        <v>Senior (5-10 yrs)</v>
      </c>
    </row>
    <row r="211" spans="1:30" x14ac:dyDescent="0.3">
      <c r="A211" s="1" t="s">
        <v>1628</v>
      </c>
      <c r="B211" s="1" t="s">
        <v>1629</v>
      </c>
      <c r="C211" s="1" t="s">
        <v>197</v>
      </c>
      <c r="D211" s="1" t="s">
        <v>111</v>
      </c>
      <c r="E211" s="1" t="s">
        <v>24</v>
      </c>
      <c r="F211" s="1" t="s">
        <v>93</v>
      </c>
      <c r="G211" s="1">
        <v>23</v>
      </c>
      <c r="H211" s="1" t="s">
        <v>218</v>
      </c>
      <c r="I211" s="1" t="s">
        <v>27</v>
      </c>
      <c r="J211" s="5">
        <v>43032</v>
      </c>
      <c r="K211" s="8">
        <v>15.9</v>
      </c>
      <c r="L211" s="11">
        <v>1188669</v>
      </c>
      <c r="M211" s="12">
        <v>0.1973</v>
      </c>
      <c r="N211" s="7">
        <v>1</v>
      </c>
      <c r="O211" s="1" t="s">
        <v>76</v>
      </c>
      <c r="P211" s="1">
        <v>7186753800</v>
      </c>
      <c r="Q211" s="1" t="s">
        <v>2743</v>
      </c>
      <c r="R211" s="10">
        <v>6</v>
      </c>
      <c r="S211" s="10">
        <v>120</v>
      </c>
      <c r="T211" s="1" t="s">
        <v>1274</v>
      </c>
      <c r="U211" t="str">
        <f t="shared" si="18"/>
        <v>Invalid</v>
      </c>
      <c r="V211">
        <f t="shared" si="19"/>
        <v>10</v>
      </c>
      <c r="W211" t="str">
        <f t="shared" si="20"/>
        <v>Oct</v>
      </c>
      <c r="X211">
        <f t="shared" si="21"/>
        <v>2017</v>
      </c>
      <c r="Y211">
        <f t="shared" ca="1" si="22"/>
        <v>8</v>
      </c>
      <c r="Z211" t="str" cm="1">
        <f t="array" ref="Z211">_xlfn.IFS(G211&lt;30,"20-29",G211&lt;40,"30-39",G211&lt;50,"40-49",G211&gt;=50,"50+")</f>
        <v>20-29</v>
      </c>
      <c r="AA211" t="str" cm="1">
        <f t="array" ref="AA211">_xlfn.IFS(L211&lt;500000,"Band 1: &lt;5L", L211&lt;1000000,"Band 2: 5-10L", L211&lt;1500000,"Band 3: 10-15L", L211&lt;2000000,"Band 4: 15-20L", L211&gt;=2000000,"Band 5: 20L+")</f>
        <v>Band 3: 10-15L</v>
      </c>
      <c r="AB211" t="str" cm="1">
        <f t="array" ref="AB211">_xlfn.IFS(N211=1,"Poor", N211=2,"Below Average", N211=3,"Average", N211=4,"Good", N211=5,"Excellent")</f>
        <v>Poor</v>
      </c>
      <c r="AC211" s="14">
        <f t="shared" si="23"/>
        <v>234524.39370000002</v>
      </c>
      <c r="AD211" t="str" cm="1">
        <f t="array" ref="AD211">_xlfn.IFS(K211&lt;2,"Junior (0-2 yrs)", K211&lt;5,"Mid-Level (2-5 yrs)", K211&lt;10,"Senior (5-10 yrs)", K211&gt;=10,"Expert (10+ yrs)")</f>
        <v>Expert (10+ yrs)</v>
      </c>
    </row>
    <row r="212" spans="1:30" x14ac:dyDescent="0.3">
      <c r="A212" s="1" t="s">
        <v>1632</v>
      </c>
      <c r="B212" s="1" t="s">
        <v>1633</v>
      </c>
      <c r="C212" s="1" t="s">
        <v>197</v>
      </c>
      <c r="D212" s="1" t="s">
        <v>23</v>
      </c>
      <c r="E212" s="1" t="s">
        <v>189</v>
      </c>
      <c r="F212" s="1" t="s">
        <v>37</v>
      </c>
      <c r="G212" s="1">
        <v>58</v>
      </c>
      <c r="H212" s="1" t="s">
        <v>218</v>
      </c>
      <c r="I212" s="1" t="s">
        <v>27</v>
      </c>
      <c r="J212" s="5">
        <v>40931</v>
      </c>
      <c r="K212" s="8">
        <v>29.3</v>
      </c>
      <c r="L212" s="11">
        <v>2065869</v>
      </c>
      <c r="M212" s="12">
        <v>0.14319999999999999</v>
      </c>
      <c r="N212" s="7">
        <v>5</v>
      </c>
      <c r="O212" s="1" t="s">
        <v>41</v>
      </c>
      <c r="P212" s="1">
        <v>8118594780</v>
      </c>
      <c r="Q212" s="1" t="s">
        <v>2744</v>
      </c>
      <c r="R212" s="10">
        <v>37</v>
      </c>
      <c r="S212" s="10">
        <v>79</v>
      </c>
      <c r="T212" s="1" t="s">
        <v>543</v>
      </c>
      <c r="U212" t="str">
        <f t="shared" si="18"/>
        <v>Invalid</v>
      </c>
      <c r="V212">
        <f t="shared" si="19"/>
        <v>1</v>
      </c>
      <c r="W212" t="str">
        <f t="shared" si="20"/>
        <v>Jan</v>
      </c>
      <c r="X212">
        <f t="shared" si="21"/>
        <v>2012</v>
      </c>
      <c r="Y212">
        <f t="shared" ca="1" si="22"/>
        <v>14</v>
      </c>
      <c r="Z212" t="str" cm="1">
        <f t="array" ref="Z212">_xlfn.IFS(G212&lt;30,"20-29",G212&lt;40,"30-39",G212&lt;50,"40-49",G212&gt;=50,"50+")</f>
        <v>50+</v>
      </c>
      <c r="AA212" t="str" cm="1">
        <f t="array" ref="AA212">_xlfn.IFS(L212&lt;500000,"Band 1: &lt;5L", L212&lt;1000000,"Band 2: 5-10L", L212&lt;1500000,"Band 3: 10-15L", L212&lt;2000000,"Band 4: 15-20L", L212&gt;=2000000,"Band 5: 20L+")</f>
        <v>Band 5: 20L+</v>
      </c>
      <c r="AB212" t="str" cm="1">
        <f t="array" ref="AB212">_xlfn.IFS(N212=1,"Poor", N212=2,"Below Average", N212=3,"Average", N212=4,"Good", N212=5,"Excellent")</f>
        <v>Excellent</v>
      </c>
      <c r="AC212" s="14">
        <f t="shared" si="23"/>
        <v>295832.44079999998</v>
      </c>
      <c r="AD212" t="str" cm="1">
        <f t="array" ref="AD212">_xlfn.IFS(K212&lt;2,"Junior (0-2 yrs)", K212&lt;5,"Mid-Level (2-5 yrs)", K212&lt;10,"Senior (5-10 yrs)", K212&gt;=10,"Expert (10+ yrs)")</f>
        <v>Expert (10+ yrs)</v>
      </c>
    </row>
    <row r="213" spans="1:30" x14ac:dyDescent="0.3">
      <c r="A213" s="1" t="s">
        <v>1637</v>
      </c>
      <c r="B213" s="1" t="s">
        <v>2516</v>
      </c>
      <c r="C213" s="1" t="s">
        <v>110</v>
      </c>
      <c r="D213" s="1" t="s">
        <v>111</v>
      </c>
      <c r="E213" s="1" t="s">
        <v>168</v>
      </c>
      <c r="F213" s="1" t="s">
        <v>37</v>
      </c>
      <c r="G213" s="1">
        <v>53</v>
      </c>
      <c r="H213" s="1" t="s">
        <v>38</v>
      </c>
      <c r="I213" s="1" t="s">
        <v>39</v>
      </c>
      <c r="J213" s="5">
        <v>40552</v>
      </c>
      <c r="K213" s="8">
        <v>11.8</v>
      </c>
      <c r="L213" s="11">
        <v>1433714</v>
      </c>
      <c r="M213" s="12">
        <v>4.6100000000000002E-2</v>
      </c>
      <c r="N213" s="7">
        <v>3</v>
      </c>
      <c r="O213" s="1" t="s">
        <v>76</v>
      </c>
      <c r="P213" s="1">
        <v>8652116078</v>
      </c>
      <c r="Q213" s="1" t="s">
        <v>2745</v>
      </c>
      <c r="R213" s="10">
        <v>6</v>
      </c>
      <c r="S213" s="10">
        <v>4</v>
      </c>
      <c r="T213" s="1" t="s">
        <v>1071</v>
      </c>
      <c r="U213" t="str">
        <f t="shared" si="18"/>
        <v>Invalid</v>
      </c>
      <c r="V213">
        <f t="shared" si="19"/>
        <v>1</v>
      </c>
      <c r="W213" t="str">
        <f t="shared" si="20"/>
        <v>Jan</v>
      </c>
      <c r="X213">
        <f t="shared" si="21"/>
        <v>2011</v>
      </c>
      <c r="Y213">
        <f t="shared" ca="1" si="22"/>
        <v>15</v>
      </c>
      <c r="Z213" t="str" cm="1">
        <f t="array" ref="Z213">_xlfn.IFS(G213&lt;30,"20-29",G213&lt;40,"30-39",G213&lt;50,"40-49",G213&gt;=50,"50+")</f>
        <v>50+</v>
      </c>
      <c r="AA213" t="str" cm="1">
        <f t="array" ref="AA213">_xlfn.IFS(L213&lt;500000,"Band 1: &lt;5L", L213&lt;1000000,"Band 2: 5-10L", L213&lt;1500000,"Band 3: 10-15L", L213&lt;2000000,"Band 4: 15-20L", L213&gt;=2000000,"Band 5: 20L+")</f>
        <v>Band 3: 10-15L</v>
      </c>
      <c r="AB213" t="str" cm="1">
        <f t="array" ref="AB213">_xlfn.IFS(N213=1,"Poor", N213=2,"Below Average", N213=3,"Average", N213=4,"Good", N213=5,"Excellent")</f>
        <v>Average</v>
      </c>
      <c r="AC213" s="14">
        <f t="shared" si="23"/>
        <v>66094.215400000001</v>
      </c>
      <c r="AD213" t="str" cm="1">
        <f t="array" ref="AD213">_xlfn.IFS(K213&lt;2,"Junior (0-2 yrs)", K213&lt;5,"Mid-Level (2-5 yrs)", K213&lt;10,"Senior (5-10 yrs)", K213&gt;=10,"Expert (10+ yrs)")</f>
        <v>Expert (10+ yrs)</v>
      </c>
    </row>
    <row r="214" spans="1:30" x14ac:dyDescent="0.3">
      <c r="A214" s="1" t="s">
        <v>431</v>
      </c>
      <c r="B214" s="1" t="s">
        <v>1642</v>
      </c>
      <c r="C214" s="1" t="s">
        <v>110</v>
      </c>
      <c r="D214" s="1" t="s">
        <v>101</v>
      </c>
      <c r="E214" s="1" t="s">
        <v>155</v>
      </c>
      <c r="F214" s="1" t="s">
        <v>37</v>
      </c>
      <c r="G214" s="1">
        <v>51</v>
      </c>
      <c r="H214" s="1" t="s">
        <v>73</v>
      </c>
      <c r="I214" s="1" t="s">
        <v>51</v>
      </c>
      <c r="J214" s="5">
        <v>45255</v>
      </c>
      <c r="K214" s="8">
        <v>24.9</v>
      </c>
      <c r="L214" s="11">
        <v>1247313</v>
      </c>
      <c r="M214" s="12">
        <v>0.125</v>
      </c>
      <c r="N214" s="7">
        <v>3</v>
      </c>
      <c r="O214" s="1" t="s">
        <v>41</v>
      </c>
      <c r="P214" s="1">
        <v>7241011818</v>
      </c>
      <c r="Q214" s="1" t="s">
        <v>2746</v>
      </c>
      <c r="R214" s="10">
        <v>42</v>
      </c>
      <c r="S214" s="10">
        <v>109</v>
      </c>
      <c r="T214" s="1" t="s">
        <v>615</v>
      </c>
      <c r="U214" t="str">
        <f t="shared" si="18"/>
        <v>Valid</v>
      </c>
      <c r="V214">
        <f t="shared" si="19"/>
        <v>11</v>
      </c>
      <c r="W214" t="str">
        <f t="shared" si="20"/>
        <v>Nov</v>
      </c>
      <c r="X214">
        <f t="shared" si="21"/>
        <v>2023</v>
      </c>
      <c r="Y214">
        <f t="shared" ca="1" si="22"/>
        <v>2</v>
      </c>
      <c r="Z214" t="str" cm="1">
        <f t="array" ref="Z214">_xlfn.IFS(G214&lt;30,"20-29",G214&lt;40,"30-39",G214&lt;50,"40-49",G214&gt;=50,"50+")</f>
        <v>50+</v>
      </c>
      <c r="AA214" t="str" cm="1">
        <f t="array" ref="AA214">_xlfn.IFS(L214&lt;500000,"Band 1: &lt;5L", L214&lt;1000000,"Band 2: 5-10L", L214&lt;1500000,"Band 3: 10-15L", L214&lt;2000000,"Band 4: 15-20L", L214&gt;=2000000,"Band 5: 20L+")</f>
        <v>Band 3: 10-15L</v>
      </c>
      <c r="AB214" t="str" cm="1">
        <f t="array" ref="AB214">_xlfn.IFS(N214=1,"Poor", N214=2,"Below Average", N214=3,"Average", N214=4,"Good", N214=5,"Excellent")</f>
        <v>Average</v>
      </c>
      <c r="AC214" s="14">
        <f t="shared" si="23"/>
        <v>155914.125</v>
      </c>
      <c r="AD214" t="str" cm="1">
        <f t="array" ref="AD214">_xlfn.IFS(K214&lt;2,"Junior (0-2 yrs)", K214&lt;5,"Mid-Level (2-5 yrs)", K214&lt;10,"Senior (5-10 yrs)", K214&gt;=10,"Expert (10+ yrs)")</f>
        <v>Expert (10+ yrs)</v>
      </c>
    </row>
    <row r="215" spans="1:30" x14ac:dyDescent="0.3">
      <c r="A215" s="1" t="s">
        <v>1650</v>
      </c>
      <c r="B215" s="1" t="s">
        <v>2517</v>
      </c>
      <c r="C215" s="1" t="s">
        <v>110</v>
      </c>
      <c r="D215" s="1" t="s">
        <v>231</v>
      </c>
      <c r="E215" s="1" t="s">
        <v>92</v>
      </c>
      <c r="F215" s="1" t="s">
        <v>37</v>
      </c>
      <c r="G215" s="1">
        <v>29</v>
      </c>
      <c r="H215" s="1" t="s">
        <v>103</v>
      </c>
      <c r="I215" s="1" t="s">
        <v>39</v>
      </c>
      <c r="J215" s="5">
        <v>41204</v>
      </c>
      <c r="K215" s="8">
        <v>23.1</v>
      </c>
      <c r="L215" s="11">
        <v>2465795</v>
      </c>
      <c r="M215" s="12">
        <v>0.19989999999999999</v>
      </c>
      <c r="N215" s="7">
        <v>3</v>
      </c>
      <c r="O215" s="1" t="s">
        <v>41</v>
      </c>
      <c r="P215" s="1">
        <v>8119611566</v>
      </c>
      <c r="Q215" s="1" t="s">
        <v>2747</v>
      </c>
      <c r="R215" s="10">
        <v>53</v>
      </c>
      <c r="S215" s="10">
        <v>50</v>
      </c>
      <c r="T215" s="1" t="s">
        <v>1317</v>
      </c>
      <c r="U215" t="str">
        <f t="shared" si="18"/>
        <v>Invalid</v>
      </c>
      <c r="V215">
        <f t="shared" si="19"/>
        <v>10</v>
      </c>
      <c r="W215" t="str">
        <f t="shared" si="20"/>
        <v>Oct</v>
      </c>
      <c r="X215">
        <f t="shared" si="21"/>
        <v>2012</v>
      </c>
      <c r="Y215">
        <f t="shared" ca="1" si="22"/>
        <v>13</v>
      </c>
      <c r="Z215" t="str" cm="1">
        <f t="array" ref="Z215">_xlfn.IFS(G215&lt;30,"20-29",G215&lt;40,"30-39",G215&lt;50,"40-49",G215&gt;=50,"50+")</f>
        <v>20-29</v>
      </c>
      <c r="AA215" t="str" cm="1">
        <f t="array" ref="AA215">_xlfn.IFS(L215&lt;500000,"Band 1: &lt;5L", L215&lt;1000000,"Band 2: 5-10L", L215&lt;1500000,"Band 3: 10-15L", L215&lt;2000000,"Band 4: 15-20L", L215&gt;=2000000,"Band 5: 20L+")</f>
        <v>Band 5: 20L+</v>
      </c>
      <c r="AB215" t="str" cm="1">
        <f t="array" ref="AB215">_xlfn.IFS(N215=1,"Poor", N215=2,"Below Average", N215=3,"Average", N215=4,"Good", N215=5,"Excellent")</f>
        <v>Average</v>
      </c>
      <c r="AC215" s="14">
        <f t="shared" si="23"/>
        <v>492912.42050000001</v>
      </c>
      <c r="AD215" t="str" cm="1">
        <f t="array" ref="AD215">_xlfn.IFS(K215&lt;2,"Junior (0-2 yrs)", K215&lt;5,"Mid-Level (2-5 yrs)", K215&lt;10,"Senior (5-10 yrs)", K215&gt;=10,"Expert (10+ yrs)")</f>
        <v>Expert (10+ yrs)</v>
      </c>
    </row>
    <row r="216" spans="1:30" x14ac:dyDescent="0.3">
      <c r="A216" s="1" t="s">
        <v>1655</v>
      </c>
      <c r="B216" s="1" t="s">
        <v>1656</v>
      </c>
      <c r="C216" s="1" t="s">
        <v>69</v>
      </c>
      <c r="D216" s="1" t="s">
        <v>244</v>
      </c>
      <c r="E216" s="1" t="s">
        <v>155</v>
      </c>
      <c r="F216" s="1" t="s">
        <v>37</v>
      </c>
      <c r="G216" s="1">
        <v>48</v>
      </c>
      <c r="H216" s="1" t="s">
        <v>204</v>
      </c>
      <c r="I216" s="1" t="s">
        <v>39</v>
      </c>
      <c r="J216" s="5">
        <v>44855</v>
      </c>
      <c r="K216" s="8">
        <v>11.6</v>
      </c>
      <c r="L216" s="11">
        <v>1888435</v>
      </c>
      <c r="M216" s="12">
        <v>2.6200000000000001E-2</v>
      </c>
      <c r="N216" s="7">
        <v>4</v>
      </c>
      <c r="O216" s="1" t="s">
        <v>41</v>
      </c>
      <c r="P216" s="1">
        <v>7143506818</v>
      </c>
      <c r="Q216" s="1" t="s">
        <v>2748</v>
      </c>
      <c r="R216" s="10">
        <v>48</v>
      </c>
      <c r="S216" s="10">
        <v>9</v>
      </c>
      <c r="T216" s="1" t="s">
        <v>696</v>
      </c>
      <c r="U216" t="str">
        <f t="shared" si="18"/>
        <v>Valid</v>
      </c>
      <c r="V216">
        <f t="shared" si="19"/>
        <v>10</v>
      </c>
      <c r="W216" t="str">
        <f t="shared" si="20"/>
        <v>Oct</v>
      </c>
      <c r="X216">
        <f t="shared" si="21"/>
        <v>2022</v>
      </c>
      <c r="Y216">
        <f t="shared" ca="1" si="22"/>
        <v>3</v>
      </c>
      <c r="Z216" t="str" cm="1">
        <f t="array" ref="Z216">_xlfn.IFS(G216&lt;30,"20-29",G216&lt;40,"30-39",G216&lt;50,"40-49",G216&gt;=50,"50+")</f>
        <v>40-49</v>
      </c>
      <c r="AA216" t="str" cm="1">
        <f t="array" ref="AA216">_xlfn.IFS(L216&lt;500000,"Band 1: &lt;5L", L216&lt;1000000,"Band 2: 5-10L", L216&lt;1500000,"Band 3: 10-15L", L216&lt;2000000,"Band 4: 15-20L", L216&gt;=2000000,"Band 5: 20L+")</f>
        <v>Band 4: 15-20L</v>
      </c>
      <c r="AB216" t="str" cm="1">
        <f t="array" ref="AB216">_xlfn.IFS(N216=1,"Poor", N216=2,"Below Average", N216=3,"Average", N216=4,"Good", N216=5,"Excellent")</f>
        <v>Good</v>
      </c>
      <c r="AC216" s="14">
        <f t="shared" si="23"/>
        <v>49476.997000000003</v>
      </c>
      <c r="AD216" t="str" cm="1">
        <f t="array" ref="AD216">_xlfn.IFS(K216&lt;2,"Junior (0-2 yrs)", K216&lt;5,"Mid-Level (2-5 yrs)", K216&lt;10,"Senior (5-10 yrs)", K216&gt;=10,"Expert (10+ yrs)")</f>
        <v>Expert (10+ yrs)</v>
      </c>
    </row>
    <row r="217" spans="1:30" x14ac:dyDescent="0.3">
      <c r="A217" s="1" t="s">
        <v>1678</v>
      </c>
      <c r="B217" s="1" t="s">
        <v>1679</v>
      </c>
      <c r="C217" s="1" t="s">
        <v>124</v>
      </c>
      <c r="D217" s="1" t="s">
        <v>83</v>
      </c>
      <c r="E217" s="1" t="s">
        <v>24</v>
      </c>
      <c r="F217" s="1" t="s">
        <v>37</v>
      </c>
      <c r="G217" s="1">
        <v>47</v>
      </c>
      <c r="H217" s="1" t="s">
        <v>38</v>
      </c>
      <c r="I217" s="1" t="s">
        <v>74</v>
      </c>
      <c r="J217" s="5">
        <v>45485</v>
      </c>
      <c r="K217" s="8">
        <v>16.600000000000001</v>
      </c>
      <c r="L217" s="11">
        <v>1411509</v>
      </c>
      <c r="M217" s="12">
        <v>3.78E-2</v>
      </c>
      <c r="N217" s="7">
        <v>1</v>
      </c>
      <c r="O217" s="1" t="s">
        <v>41</v>
      </c>
      <c r="P217" s="1">
        <v>8131297865</v>
      </c>
      <c r="Q217" s="1" t="s">
        <v>2749</v>
      </c>
      <c r="R217" s="10">
        <v>12</v>
      </c>
      <c r="S217" s="10">
        <v>44</v>
      </c>
      <c r="T217" s="1" t="s">
        <v>1071</v>
      </c>
      <c r="U217" t="str">
        <f t="shared" si="18"/>
        <v>Invalid</v>
      </c>
      <c r="V217">
        <f t="shared" si="19"/>
        <v>7</v>
      </c>
      <c r="W217" t="str">
        <f t="shared" si="20"/>
        <v>Jul</v>
      </c>
      <c r="X217">
        <f t="shared" si="21"/>
        <v>2024</v>
      </c>
      <c r="Y217">
        <f t="shared" ca="1" si="22"/>
        <v>1</v>
      </c>
      <c r="Z217" t="str" cm="1">
        <f t="array" ref="Z217">_xlfn.IFS(G217&lt;30,"20-29",G217&lt;40,"30-39",G217&lt;50,"40-49",G217&gt;=50,"50+")</f>
        <v>40-49</v>
      </c>
      <c r="AA217" t="str" cm="1">
        <f t="array" ref="AA217">_xlfn.IFS(L217&lt;500000,"Band 1: &lt;5L", L217&lt;1000000,"Band 2: 5-10L", L217&lt;1500000,"Band 3: 10-15L", L217&lt;2000000,"Band 4: 15-20L", L217&gt;=2000000,"Band 5: 20L+")</f>
        <v>Band 3: 10-15L</v>
      </c>
      <c r="AB217" t="str" cm="1">
        <f t="array" ref="AB217">_xlfn.IFS(N217=1,"Poor", N217=2,"Below Average", N217=3,"Average", N217=4,"Good", N217=5,"Excellent")</f>
        <v>Poor</v>
      </c>
      <c r="AC217" s="14">
        <f t="shared" si="23"/>
        <v>53355.040200000003</v>
      </c>
      <c r="AD217" t="str" cm="1">
        <f t="array" ref="AD217">_xlfn.IFS(K217&lt;2,"Junior (0-2 yrs)", K217&lt;5,"Mid-Level (2-5 yrs)", K217&lt;10,"Senior (5-10 yrs)", K217&gt;=10,"Expert (10+ yrs)")</f>
        <v>Expert (10+ yrs)</v>
      </c>
    </row>
    <row r="218" spans="1:30" x14ac:dyDescent="0.3">
      <c r="A218" s="1" t="s">
        <v>1274</v>
      </c>
      <c r="B218" s="1" t="s">
        <v>1683</v>
      </c>
      <c r="C218" s="1" t="s">
        <v>110</v>
      </c>
      <c r="D218" s="1" t="s">
        <v>101</v>
      </c>
      <c r="E218" s="1" t="s">
        <v>189</v>
      </c>
      <c r="F218" s="1" t="s">
        <v>37</v>
      </c>
      <c r="G218" s="1">
        <v>46</v>
      </c>
      <c r="H218" s="1" t="s">
        <v>62</v>
      </c>
      <c r="I218" s="1" t="s">
        <v>39</v>
      </c>
      <c r="J218" s="5">
        <v>43578</v>
      </c>
      <c r="K218" s="8">
        <v>18.7</v>
      </c>
      <c r="L218" s="11">
        <v>1529678</v>
      </c>
      <c r="M218" s="12">
        <v>0.15890000000000001</v>
      </c>
      <c r="N218" s="7">
        <v>4</v>
      </c>
      <c r="O218" s="1" t="s">
        <v>41</v>
      </c>
      <c r="P218" s="1">
        <v>7999829240</v>
      </c>
      <c r="Q218" s="1" t="s">
        <v>2750</v>
      </c>
      <c r="R218" s="10">
        <v>47</v>
      </c>
      <c r="S218" s="10">
        <v>85</v>
      </c>
      <c r="T218" s="1" t="s">
        <v>335</v>
      </c>
      <c r="U218" t="str">
        <f t="shared" si="18"/>
        <v>Invalid</v>
      </c>
      <c r="V218">
        <f t="shared" si="19"/>
        <v>4</v>
      </c>
      <c r="W218" t="str">
        <f t="shared" si="20"/>
        <v>Apr</v>
      </c>
      <c r="X218">
        <f t="shared" si="21"/>
        <v>2019</v>
      </c>
      <c r="Y218">
        <f t="shared" ca="1" si="22"/>
        <v>6</v>
      </c>
      <c r="Z218" t="str" cm="1">
        <f t="array" ref="Z218">_xlfn.IFS(G218&lt;30,"20-29",G218&lt;40,"30-39",G218&lt;50,"40-49",G218&gt;=50,"50+")</f>
        <v>40-49</v>
      </c>
      <c r="AA218" t="str" cm="1">
        <f t="array" ref="AA218">_xlfn.IFS(L218&lt;500000,"Band 1: &lt;5L", L218&lt;1000000,"Band 2: 5-10L", L218&lt;1500000,"Band 3: 10-15L", L218&lt;2000000,"Band 4: 15-20L", L218&gt;=2000000,"Band 5: 20L+")</f>
        <v>Band 4: 15-20L</v>
      </c>
      <c r="AB218" t="str" cm="1">
        <f t="array" ref="AB218">_xlfn.IFS(N218=1,"Poor", N218=2,"Below Average", N218=3,"Average", N218=4,"Good", N218=5,"Excellent")</f>
        <v>Good</v>
      </c>
      <c r="AC218" s="14">
        <f t="shared" si="23"/>
        <v>243065.83420000001</v>
      </c>
      <c r="AD218" t="str" cm="1">
        <f t="array" ref="AD218">_xlfn.IFS(K218&lt;2,"Junior (0-2 yrs)", K218&lt;5,"Mid-Level (2-5 yrs)", K218&lt;10,"Senior (5-10 yrs)", K218&gt;=10,"Expert (10+ yrs)")</f>
        <v>Expert (10+ yrs)</v>
      </c>
    </row>
    <row r="219" spans="1:30" x14ac:dyDescent="0.3">
      <c r="A219" s="1" t="s">
        <v>1687</v>
      </c>
      <c r="B219" s="1" t="s">
        <v>1688</v>
      </c>
      <c r="C219" s="1" t="s">
        <v>69</v>
      </c>
      <c r="D219" s="1" t="s">
        <v>23</v>
      </c>
      <c r="E219" s="1" t="s">
        <v>168</v>
      </c>
      <c r="F219" s="1" t="s">
        <v>37</v>
      </c>
      <c r="G219" s="1">
        <v>31</v>
      </c>
      <c r="H219" s="1" t="s">
        <v>50</v>
      </c>
      <c r="I219" s="1" t="s">
        <v>51</v>
      </c>
      <c r="J219" s="5">
        <v>43944</v>
      </c>
      <c r="K219" s="8">
        <v>8.4</v>
      </c>
      <c r="L219" s="11">
        <v>595941</v>
      </c>
      <c r="M219" s="12">
        <v>0.24100000000000002</v>
      </c>
      <c r="N219" s="7">
        <v>4</v>
      </c>
      <c r="O219" s="1" t="s">
        <v>76</v>
      </c>
      <c r="P219" s="1">
        <v>7659240606</v>
      </c>
      <c r="Q219" s="1" t="s">
        <v>2751</v>
      </c>
      <c r="R219" s="10">
        <v>34</v>
      </c>
      <c r="S219" s="10">
        <v>14</v>
      </c>
      <c r="T219" s="1" t="s">
        <v>107</v>
      </c>
      <c r="U219" t="str">
        <f t="shared" si="18"/>
        <v>Invalid</v>
      </c>
      <c r="V219">
        <f t="shared" si="19"/>
        <v>4</v>
      </c>
      <c r="W219" t="str">
        <f t="shared" si="20"/>
        <v>Apr</v>
      </c>
      <c r="X219">
        <f t="shared" si="21"/>
        <v>2020</v>
      </c>
      <c r="Y219">
        <f t="shared" ca="1" si="22"/>
        <v>5</v>
      </c>
      <c r="Z219" t="str" cm="1">
        <f t="array" ref="Z219">_xlfn.IFS(G219&lt;30,"20-29",G219&lt;40,"30-39",G219&lt;50,"40-49",G219&gt;=50,"50+")</f>
        <v>30-39</v>
      </c>
      <c r="AA219" t="str" cm="1">
        <f t="array" ref="AA219">_xlfn.IFS(L219&lt;500000,"Band 1: &lt;5L", L219&lt;1000000,"Band 2: 5-10L", L219&lt;1500000,"Band 3: 10-15L", L219&lt;2000000,"Band 4: 15-20L", L219&gt;=2000000,"Band 5: 20L+")</f>
        <v>Band 2: 5-10L</v>
      </c>
      <c r="AB219" t="str" cm="1">
        <f t="array" ref="AB219">_xlfn.IFS(N219=1,"Poor", N219=2,"Below Average", N219=3,"Average", N219=4,"Good", N219=5,"Excellent")</f>
        <v>Good</v>
      </c>
      <c r="AC219" s="14">
        <f t="shared" si="23"/>
        <v>143621.78100000002</v>
      </c>
      <c r="AD219" t="str" cm="1">
        <f t="array" ref="AD219">_xlfn.IFS(K219&lt;2,"Junior (0-2 yrs)", K219&lt;5,"Mid-Level (2-5 yrs)", K219&lt;10,"Senior (5-10 yrs)", K219&gt;=10,"Expert (10+ yrs)")</f>
        <v>Senior (5-10 yrs)</v>
      </c>
    </row>
    <row r="220" spans="1:30" x14ac:dyDescent="0.3">
      <c r="A220" s="1" t="s">
        <v>457</v>
      </c>
      <c r="B220" s="1" t="s">
        <v>1692</v>
      </c>
      <c r="C220" s="1" t="s">
        <v>124</v>
      </c>
      <c r="D220" s="1" t="s">
        <v>23</v>
      </c>
      <c r="E220" s="1" t="s">
        <v>92</v>
      </c>
      <c r="F220" s="1" t="s">
        <v>93</v>
      </c>
      <c r="G220" s="1">
        <v>47</v>
      </c>
      <c r="H220" s="1" t="s">
        <v>218</v>
      </c>
      <c r="I220" s="1" t="s">
        <v>198</v>
      </c>
      <c r="J220" s="5">
        <v>42836</v>
      </c>
      <c r="K220" s="8">
        <v>5.2</v>
      </c>
      <c r="L220" s="11">
        <v>606071</v>
      </c>
      <c r="M220" s="12">
        <v>0.12869999999999998</v>
      </c>
      <c r="N220" s="7">
        <v>3</v>
      </c>
      <c r="O220" s="1" t="s">
        <v>41</v>
      </c>
      <c r="P220" s="1">
        <v>8483355242</v>
      </c>
      <c r="Q220" s="1" t="s">
        <v>2752</v>
      </c>
      <c r="R220" s="10">
        <v>30</v>
      </c>
      <c r="S220" s="10">
        <v>34</v>
      </c>
      <c r="T220" s="1" t="s">
        <v>457</v>
      </c>
      <c r="U220" t="str">
        <f t="shared" si="18"/>
        <v>Invalid</v>
      </c>
      <c r="V220">
        <f t="shared" si="19"/>
        <v>4</v>
      </c>
      <c r="W220" t="str">
        <f t="shared" si="20"/>
        <v>Apr</v>
      </c>
      <c r="X220">
        <f t="shared" si="21"/>
        <v>2017</v>
      </c>
      <c r="Y220">
        <f t="shared" ca="1" si="22"/>
        <v>8</v>
      </c>
      <c r="Z220" t="str" cm="1">
        <f t="array" ref="Z220">_xlfn.IFS(G220&lt;30,"20-29",G220&lt;40,"30-39",G220&lt;50,"40-49",G220&gt;=50,"50+")</f>
        <v>40-49</v>
      </c>
      <c r="AA220" t="str" cm="1">
        <f t="array" ref="AA220">_xlfn.IFS(L220&lt;500000,"Band 1: &lt;5L", L220&lt;1000000,"Band 2: 5-10L", L220&lt;1500000,"Band 3: 10-15L", L220&lt;2000000,"Band 4: 15-20L", L220&gt;=2000000,"Band 5: 20L+")</f>
        <v>Band 2: 5-10L</v>
      </c>
      <c r="AB220" t="str" cm="1">
        <f t="array" ref="AB220">_xlfn.IFS(N220=1,"Poor", N220=2,"Below Average", N220=3,"Average", N220=4,"Good", N220=5,"Excellent")</f>
        <v>Average</v>
      </c>
      <c r="AC220" s="14">
        <f t="shared" si="23"/>
        <v>78001.337699999989</v>
      </c>
      <c r="AD220" t="str" cm="1">
        <f t="array" ref="AD220">_xlfn.IFS(K220&lt;2,"Junior (0-2 yrs)", K220&lt;5,"Mid-Level (2-5 yrs)", K220&lt;10,"Senior (5-10 yrs)", K220&gt;=10,"Expert (10+ yrs)")</f>
        <v>Senior (5-10 yrs)</v>
      </c>
    </row>
    <row r="221" spans="1:30" x14ac:dyDescent="0.3">
      <c r="A221" s="1" t="s">
        <v>722</v>
      </c>
      <c r="B221" s="1" t="s">
        <v>1705</v>
      </c>
      <c r="C221" s="1" t="s">
        <v>197</v>
      </c>
      <c r="D221" s="1" t="s">
        <v>111</v>
      </c>
      <c r="E221" s="1" t="s">
        <v>24</v>
      </c>
      <c r="F221" s="1" t="s">
        <v>93</v>
      </c>
      <c r="G221" s="1">
        <v>24</v>
      </c>
      <c r="H221" s="1" t="s">
        <v>38</v>
      </c>
      <c r="I221" s="1" t="s">
        <v>27</v>
      </c>
      <c r="J221" s="5">
        <v>44024</v>
      </c>
      <c r="K221" s="8">
        <v>23.1</v>
      </c>
      <c r="L221" s="11">
        <v>1054896</v>
      </c>
      <c r="M221" s="12">
        <v>3.32E-2</v>
      </c>
      <c r="N221" s="7">
        <v>3</v>
      </c>
      <c r="O221" s="1" t="s">
        <v>76</v>
      </c>
      <c r="P221" s="1">
        <v>8613385303</v>
      </c>
      <c r="Q221" s="1" t="s">
        <v>2753</v>
      </c>
      <c r="R221" s="10">
        <v>15</v>
      </c>
      <c r="S221" s="10">
        <v>68</v>
      </c>
      <c r="T221" s="1" t="s">
        <v>381</v>
      </c>
      <c r="U221" t="str">
        <f t="shared" si="18"/>
        <v>Valid</v>
      </c>
      <c r="V221">
        <f t="shared" si="19"/>
        <v>7</v>
      </c>
      <c r="W221" t="str">
        <f t="shared" si="20"/>
        <v>Jul</v>
      </c>
      <c r="X221">
        <f t="shared" si="21"/>
        <v>2020</v>
      </c>
      <c r="Y221">
        <f t="shared" ca="1" si="22"/>
        <v>5</v>
      </c>
      <c r="Z221" t="str" cm="1">
        <f t="array" ref="Z221">_xlfn.IFS(G221&lt;30,"20-29",G221&lt;40,"30-39",G221&lt;50,"40-49",G221&gt;=50,"50+")</f>
        <v>20-29</v>
      </c>
      <c r="AA221" t="str" cm="1">
        <f t="array" ref="AA221">_xlfn.IFS(L221&lt;500000,"Band 1: &lt;5L", L221&lt;1000000,"Band 2: 5-10L", L221&lt;1500000,"Band 3: 10-15L", L221&lt;2000000,"Band 4: 15-20L", L221&gt;=2000000,"Band 5: 20L+")</f>
        <v>Band 3: 10-15L</v>
      </c>
      <c r="AB221" t="str" cm="1">
        <f t="array" ref="AB221">_xlfn.IFS(N221=1,"Poor", N221=2,"Below Average", N221=3,"Average", N221=4,"Good", N221=5,"Excellent")</f>
        <v>Average</v>
      </c>
      <c r="AC221" s="14">
        <f t="shared" si="23"/>
        <v>35022.547200000001</v>
      </c>
      <c r="AD221" t="str" cm="1">
        <f t="array" ref="AD221">_xlfn.IFS(K221&lt;2,"Junior (0-2 yrs)", K221&lt;5,"Mid-Level (2-5 yrs)", K221&lt;10,"Senior (5-10 yrs)", K221&gt;=10,"Expert (10+ yrs)")</f>
        <v>Expert (10+ yrs)</v>
      </c>
    </row>
    <row r="222" spans="1:30" x14ac:dyDescent="0.3">
      <c r="A222" s="1" t="s">
        <v>241</v>
      </c>
      <c r="B222" s="1" t="s">
        <v>2518</v>
      </c>
      <c r="C222" s="1" t="s">
        <v>132</v>
      </c>
      <c r="D222" s="1" t="s">
        <v>244</v>
      </c>
      <c r="E222" s="1" t="s">
        <v>102</v>
      </c>
      <c r="F222" s="1" t="s">
        <v>93</v>
      </c>
      <c r="G222" s="1">
        <v>23</v>
      </c>
      <c r="H222" s="1" t="s">
        <v>142</v>
      </c>
      <c r="I222" s="1" t="s">
        <v>39</v>
      </c>
      <c r="J222" s="5">
        <v>41031</v>
      </c>
      <c r="K222" s="8">
        <v>7.5</v>
      </c>
      <c r="L222" s="11">
        <v>1802577</v>
      </c>
      <c r="M222" s="12">
        <v>2.7300000000000001E-2</v>
      </c>
      <c r="N222" s="7">
        <v>3</v>
      </c>
      <c r="O222" s="1" t="s">
        <v>41</v>
      </c>
      <c r="P222" s="1">
        <v>9045460840</v>
      </c>
      <c r="Q222" s="1" t="s">
        <v>2754</v>
      </c>
      <c r="R222" s="10">
        <v>78</v>
      </c>
      <c r="S222" s="10">
        <v>100</v>
      </c>
      <c r="T222" s="1" t="s">
        <v>194</v>
      </c>
      <c r="U222" t="str">
        <f t="shared" si="18"/>
        <v>Valid</v>
      </c>
      <c r="V222">
        <f t="shared" si="19"/>
        <v>5</v>
      </c>
      <c r="W222" t="str">
        <f t="shared" si="20"/>
        <v>May</v>
      </c>
      <c r="X222">
        <f t="shared" si="21"/>
        <v>2012</v>
      </c>
      <c r="Y222">
        <f t="shared" ca="1" si="22"/>
        <v>13</v>
      </c>
      <c r="Z222" t="str" cm="1">
        <f t="array" ref="Z222">_xlfn.IFS(G222&lt;30,"20-29",G222&lt;40,"30-39",G222&lt;50,"40-49",G222&gt;=50,"50+")</f>
        <v>20-29</v>
      </c>
      <c r="AA222" t="str" cm="1">
        <f t="array" ref="AA222">_xlfn.IFS(L222&lt;500000,"Band 1: &lt;5L", L222&lt;1000000,"Band 2: 5-10L", L222&lt;1500000,"Band 3: 10-15L", L222&lt;2000000,"Band 4: 15-20L", L222&gt;=2000000,"Band 5: 20L+")</f>
        <v>Band 4: 15-20L</v>
      </c>
      <c r="AB222" t="str" cm="1">
        <f t="array" ref="AB222">_xlfn.IFS(N222=1,"Poor", N222=2,"Below Average", N222=3,"Average", N222=4,"Good", N222=5,"Excellent")</f>
        <v>Average</v>
      </c>
      <c r="AC222" s="14">
        <f t="shared" si="23"/>
        <v>49210.352100000004</v>
      </c>
      <c r="AD222" t="str" cm="1">
        <f t="array" ref="AD222">_xlfn.IFS(K222&lt;2,"Junior (0-2 yrs)", K222&lt;5,"Mid-Level (2-5 yrs)", K222&lt;10,"Senior (5-10 yrs)", K222&gt;=10,"Expert (10+ yrs)")</f>
        <v>Senior (5-10 yrs)</v>
      </c>
    </row>
    <row r="223" spans="1:30" x14ac:dyDescent="0.3">
      <c r="A223" s="1" t="s">
        <v>932</v>
      </c>
      <c r="B223" s="1" t="s">
        <v>1718</v>
      </c>
      <c r="C223" s="1" t="s">
        <v>124</v>
      </c>
      <c r="D223" s="1" t="s">
        <v>244</v>
      </c>
      <c r="E223" s="1" t="s">
        <v>102</v>
      </c>
      <c r="F223" s="1" t="s">
        <v>93</v>
      </c>
      <c r="G223" s="1">
        <v>27</v>
      </c>
      <c r="H223" s="1" t="s">
        <v>103</v>
      </c>
      <c r="I223" s="1" t="s">
        <v>74</v>
      </c>
      <c r="J223" s="5">
        <v>43580</v>
      </c>
      <c r="K223" s="8">
        <v>12.8</v>
      </c>
      <c r="L223" s="11">
        <v>796821</v>
      </c>
      <c r="M223" s="12">
        <v>1.5100000000000001E-2</v>
      </c>
      <c r="N223" s="7">
        <v>4</v>
      </c>
      <c r="O223" s="1" t="s">
        <v>41</v>
      </c>
      <c r="P223" s="1">
        <v>9527696207</v>
      </c>
      <c r="Q223" s="1" t="s">
        <v>2755</v>
      </c>
      <c r="R223" s="10">
        <v>12</v>
      </c>
      <c r="S223" s="10">
        <v>26</v>
      </c>
      <c r="T223" s="1" t="s">
        <v>697</v>
      </c>
      <c r="U223" t="str">
        <f t="shared" si="18"/>
        <v>Valid</v>
      </c>
      <c r="V223">
        <f t="shared" si="19"/>
        <v>4</v>
      </c>
      <c r="W223" t="str">
        <f t="shared" si="20"/>
        <v>Apr</v>
      </c>
      <c r="X223">
        <f t="shared" si="21"/>
        <v>2019</v>
      </c>
      <c r="Y223">
        <f t="shared" ca="1" si="22"/>
        <v>6</v>
      </c>
      <c r="Z223" t="str" cm="1">
        <f t="array" ref="Z223">_xlfn.IFS(G223&lt;30,"20-29",G223&lt;40,"30-39",G223&lt;50,"40-49",G223&gt;=50,"50+")</f>
        <v>20-29</v>
      </c>
      <c r="AA223" t="str" cm="1">
        <f t="array" ref="AA223">_xlfn.IFS(L223&lt;500000,"Band 1: &lt;5L", L223&lt;1000000,"Band 2: 5-10L", L223&lt;1500000,"Band 3: 10-15L", L223&lt;2000000,"Band 4: 15-20L", L223&gt;=2000000,"Band 5: 20L+")</f>
        <v>Band 2: 5-10L</v>
      </c>
      <c r="AB223" t="str" cm="1">
        <f t="array" ref="AB223">_xlfn.IFS(N223=1,"Poor", N223=2,"Below Average", N223=3,"Average", N223=4,"Good", N223=5,"Excellent")</f>
        <v>Good</v>
      </c>
      <c r="AC223" s="14">
        <f t="shared" si="23"/>
        <v>12031.997100000001</v>
      </c>
      <c r="AD223" t="str" cm="1">
        <f t="array" ref="AD223">_xlfn.IFS(K223&lt;2,"Junior (0-2 yrs)", K223&lt;5,"Mid-Level (2-5 yrs)", K223&lt;10,"Senior (5-10 yrs)", K223&gt;=10,"Expert (10+ yrs)")</f>
        <v>Expert (10+ yrs)</v>
      </c>
    </row>
    <row r="224" spans="1:30" x14ac:dyDescent="0.3">
      <c r="A224" s="1" t="s">
        <v>408</v>
      </c>
      <c r="B224" s="1" t="s">
        <v>1730</v>
      </c>
      <c r="C224" s="1" t="s">
        <v>69</v>
      </c>
      <c r="D224" s="1" t="s">
        <v>101</v>
      </c>
      <c r="E224" s="1" t="s">
        <v>175</v>
      </c>
      <c r="F224" s="1" t="s">
        <v>37</v>
      </c>
      <c r="G224" s="1">
        <v>32</v>
      </c>
      <c r="H224" s="1" t="s">
        <v>103</v>
      </c>
      <c r="I224" s="1" t="s">
        <v>39</v>
      </c>
      <c r="J224" s="5">
        <v>42783</v>
      </c>
      <c r="K224" s="8">
        <v>20.6</v>
      </c>
      <c r="L224" s="11">
        <v>2482470</v>
      </c>
      <c r="M224" s="12">
        <v>0.16820000000000002</v>
      </c>
      <c r="N224" s="7">
        <v>1</v>
      </c>
      <c r="O224" s="1" t="s">
        <v>76</v>
      </c>
      <c r="P224" s="1">
        <v>8784234958</v>
      </c>
      <c r="Q224" s="1" t="s">
        <v>2756</v>
      </c>
      <c r="R224" s="10">
        <v>2</v>
      </c>
      <c r="S224" s="10">
        <v>104</v>
      </c>
      <c r="T224" s="1" t="s">
        <v>32</v>
      </c>
      <c r="U224" t="str">
        <f t="shared" si="18"/>
        <v>Invalid</v>
      </c>
      <c r="V224">
        <f t="shared" si="19"/>
        <v>2</v>
      </c>
      <c r="W224" t="str">
        <f t="shared" si="20"/>
        <v>Feb</v>
      </c>
      <c r="X224">
        <f t="shared" si="21"/>
        <v>2017</v>
      </c>
      <c r="Y224">
        <f t="shared" ca="1" si="22"/>
        <v>9</v>
      </c>
      <c r="Z224" t="str" cm="1">
        <f t="array" ref="Z224">_xlfn.IFS(G224&lt;30,"20-29",G224&lt;40,"30-39",G224&lt;50,"40-49",G224&gt;=50,"50+")</f>
        <v>30-39</v>
      </c>
      <c r="AA224" t="str" cm="1">
        <f t="array" ref="AA224">_xlfn.IFS(L224&lt;500000,"Band 1: &lt;5L", L224&lt;1000000,"Band 2: 5-10L", L224&lt;1500000,"Band 3: 10-15L", L224&lt;2000000,"Band 4: 15-20L", L224&gt;=2000000,"Band 5: 20L+")</f>
        <v>Band 5: 20L+</v>
      </c>
      <c r="AB224" t="str" cm="1">
        <f t="array" ref="AB224">_xlfn.IFS(N224=1,"Poor", N224=2,"Below Average", N224=3,"Average", N224=4,"Good", N224=5,"Excellent")</f>
        <v>Poor</v>
      </c>
      <c r="AC224" s="14">
        <f t="shared" si="23"/>
        <v>417551.45400000003</v>
      </c>
      <c r="AD224" t="str" cm="1">
        <f t="array" ref="AD224">_xlfn.IFS(K224&lt;2,"Junior (0-2 yrs)", K224&lt;5,"Mid-Level (2-5 yrs)", K224&lt;10,"Senior (5-10 yrs)", K224&gt;=10,"Expert (10+ yrs)")</f>
        <v>Expert (10+ yrs)</v>
      </c>
    </row>
    <row r="225" spans="1:30" x14ac:dyDescent="0.3">
      <c r="A225" s="1" t="s">
        <v>1734</v>
      </c>
      <c r="B225" s="1" t="s">
        <v>2519</v>
      </c>
      <c r="C225" s="1" t="s">
        <v>197</v>
      </c>
      <c r="D225" s="1" t="s">
        <v>111</v>
      </c>
      <c r="E225" s="1" t="s">
        <v>175</v>
      </c>
      <c r="F225" s="1" t="s">
        <v>93</v>
      </c>
      <c r="G225" s="1">
        <v>44</v>
      </c>
      <c r="H225" s="1" t="s">
        <v>218</v>
      </c>
      <c r="I225" s="1" t="s">
        <v>39</v>
      </c>
      <c r="J225" s="5">
        <v>43045</v>
      </c>
      <c r="K225" s="8">
        <v>11.5</v>
      </c>
      <c r="L225" s="11">
        <v>2401745</v>
      </c>
      <c r="M225" s="12">
        <v>7.7300000000000008E-2</v>
      </c>
      <c r="N225" s="7">
        <v>4</v>
      </c>
      <c r="O225" s="1" t="s">
        <v>76</v>
      </c>
      <c r="P225" s="1">
        <v>7061128523</v>
      </c>
      <c r="Q225" s="1" t="s">
        <v>2757</v>
      </c>
      <c r="R225" s="10">
        <v>35</v>
      </c>
      <c r="S225" s="10">
        <v>93</v>
      </c>
      <c r="T225" s="1" t="s">
        <v>737</v>
      </c>
      <c r="U225" t="str">
        <f t="shared" si="18"/>
        <v>Valid</v>
      </c>
      <c r="V225">
        <f t="shared" si="19"/>
        <v>11</v>
      </c>
      <c r="W225" t="str">
        <f t="shared" si="20"/>
        <v>Nov</v>
      </c>
      <c r="X225">
        <f t="shared" si="21"/>
        <v>2017</v>
      </c>
      <c r="Y225">
        <f t="shared" ca="1" si="22"/>
        <v>8</v>
      </c>
      <c r="Z225" t="str" cm="1">
        <f t="array" ref="Z225">_xlfn.IFS(G225&lt;30,"20-29",G225&lt;40,"30-39",G225&lt;50,"40-49",G225&gt;=50,"50+")</f>
        <v>40-49</v>
      </c>
      <c r="AA225" t="str" cm="1">
        <f t="array" ref="AA225">_xlfn.IFS(L225&lt;500000,"Band 1: &lt;5L", L225&lt;1000000,"Band 2: 5-10L", L225&lt;1500000,"Band 3: 10-15L", L225&lt;2000000,"Band 4: 15-20L", L225&gt;=2000000,"Band 5: 20L+")</f>
        <v>Band 5: 20L+</v>
      </c>
      <c r="AB225" t="str" cm="1">
        <f t="array" ref="AB225">_xlfn.IFS(N225=1,"Poor", N225=2,"Below Average", N225=3,"Average", N225=4,"Good", N225=5,"Excellent")</f>
        <v>Good</v>
      </c>
      <c r="AC225" s="14">
        <f t="shared" si="23"/>
        <v>185654.88850000003</v>
      </c>
      <c r="AD225" t="str" cm="1">
        <f t="array" ref="AD225">_xlfn.IFS(K225&lt;2,"Junior (0-2 yrs)", K225&lt;5,"Mid-Level (2-5 yrs)", K225&lt;10,"Senior (5-10 yrs)", K225&gt;=10,"Expert (10+ yrs)")</f>
        <v>Expert (10+ yrs)</v>
      </c>
    </row>
    <row r="226" spans="1:30" x14ac:dyDescent="0.3">
      <c r="A226" s="1" t="s">
        <v>510</v>
      </c>
      <c r="B226" s="1" t="s">
        <v>1739</v>
      </c>
      <c r="C226" s="1" t="s">
        <v>46</v>
      </c>
      <c r="D226" s="1" t="s">
        <v>231</v>
      </c>
      <c r="E226" s="1" t="s">
        <v>36</v>
      </c>
      <c r="F226" s="1" t="s">
        <v>93</v>
      </c>
      <c r="G226" s="1">
        <v>24</v>
      </c>
      <c r="H226" s="1" t="s">
        <v>142</v>
      </c>
      <c r="I226" s="1" t="s">
        <v>198</v>
      </c>
      <c r="J226" s="5">
        <v>42711</v>
      </c>
      <c r="K226" s="8">
        <v>13.5</v>
      </c>
      <c r="L226" s="11">
        <v>760935</v>
      </c>
      <c r="M226" s="12">
        <v>0.1656</v>
      </c>
      <c r="N226" s="7">
        <v>5</v>
      </c>
      <c r="O226" s="1" t="s">
        <v>76</v>
      </c>
      <c r="P226" s="1">
        <v>7593059748</v>
      </c>
      <c r="Q226" s="1" t="s">
        <v>2758</v>
      </c>
      <c r="R226" s="10">
        <v>40</v>
      </c>
      <c r="S226" s="10">
        <v>58</v>
      </c>
      <c r="T226" s="1" t="s">
        <v>722</v>
      </c>
      <c r="U226" t="str">
        <f t="shared" si="18"/>
        <v>Invalid</v>
      </c>
      <c r="V226">
        <f t="shared" si="19"/>
        <v>12</v>
      </c>
      <c r="W226" t="str">
        <f t="shared" si="20"/>
        <v>Dec</v>
      </c>
      <c r="X226">
        <f t="shared" si="21"/>
        <v>2016</v>
      </c>
      <c r="Y226">
        <f t="shared" ca="1" si="22"/>
        <v>9</v>
      </c>
      <c r="Z226" t="str" cm="1">
        <f t="array" ref="Z226">_xlfn.IFS(G226&lt;30,"20-29",G226&lt;40,"30-39",G226&lt;50,"40-49",G226&gt;=50,"50+")</f>
        <v>20-29</v>
      </c>
      <c r="AA226" t="str" cm="1">
        <f t="array" ref="AA226">_xlfn.IFS(L226&lt;500000,"Band 1: &lt;5L", L226&lt;1000000,"Band 2: 5-10L", L226&lt;1500000,"Band 3: 10-15L", L226&lt;2000000,"Band 4: 15-20L", L226&gt;=2000000,"Band 5: 20L+")</f>
        <v>Band 2: 5-10L</v>
      </c>
      <c r="AB226" t="str" cm="1">
        <f t="array" ref="AB226">_xlfn.IFS(N226=1,"Poor", N226=2,"Below Average", N226=3,"Average", N226=4,"Good", N226=5,"Excellent")</f>
        <v>Excellent</v>
      </c>
      <c r="AC226" s="14">
        <f t="shared" si="23"/>
        <v>126010.836</v>
      </c>
      <c r="AD226" t="str" cm="1">
        <f t="array" ref="AD226">_xlfn.IFS(K226&lt;2,"Junior (0-2 yrs)", K226&lt;5,"Mid-Level (2-5 yrs)", K226&lt;10,"Senior (5-10 yrs)", K226&gt;=10,"Expert (10+ yrs)")</f>
        <v>Expert (10+ yrs)</v>
      </c>
    </row>
    <row r="227" spans="1:30" x14ac:dyDescent="0.3">
      <c r="A227" s="1" t="s">
        <v>1743</v>
      </c>
      <c r="B227" s="1" t="s">
        <v>1744</v>
      </c>
      <c r="C227" s="1" t="s">
        <v>69</v>
      </c>
      <c r="D227" s="1" t="s">
        <v>231</v>
      </c>
      <c r="E227" s="1" t="s">
        <v>24</v>
      </c>
      <c r="F227" s="1" t="s">
        <v>37</v>
      </c>
      <c r="G227" s="1">
        <v>32</v>
      </c>
      <c r="H227" s="1" t="s">
        <v>26</v>
      </c>
      <c r="I227" s="1" t="s">
        <v>39</v>
      </c>
      <c r="J227" s="5">
        <v>44940</v>
      </c>
      <c r="K227" s="8">
        <v>16.8</v>
      </c>
      <c r="L227" s="11">
        <v>654775</v>
      </c>
      <c r="M227" s="12">
        <v>0.1014</v>
      </c>
      <c r="N227" s="7">
        <v>3</v>
      </c>
      <c r="O227" s="1" t="s">
        <v>76</v>
      </c>
      <c r="P227" s="1">
        <v>9942575986</v>
      </c>
      <c r="Q227" s="1" t="s">
        <v>2544</v>
      </c>
      <c r="R227" s="10">
        <v>0</v>
      </c>
      <c r="S227" s="10">
        <v>89</v>
      </c>
      <c r="T227" s="1" t="s">
        <v>722</v>
      </c>
      <c r="U227" t="str">
        <f t="shared" si="18"/>
        <v>Invalid</v>
      </c>
      <c r="V227">
        <f t="shared" si="19"/>
        <v>1</v>
      </c>
      <c r="W227" t="str">
        <f t="shared" si="20"/>
        <v>Jan</v>
      </c>
      <c r="X227">
        <f t="shared" si="21"/>
        <v>2023</v>
      </c>
      <c r="Y227">
        <f t="shared" ca="1" si="22"/>
        <v>3</v>
      </c>
      <c r="Z227" t="str" cm="1">
        <f t="array" ref="Z227">_xlfn.IFS(G227&lt;30,"20-29",G227&lt;40,"30-39",G227&lt;50,"40-49",G227&gt;=50,"50+")</f>
        <v>30-39</v>
      </c>
      <c r="AA227" t="str" cm="1">
        <f t="array" ref="AA227">_xlfn.IFS(L227&lt;500000,"Band 1: &lt;5L", L227&lt;1000000,"Band 2: 5-10L", L227&lt;1500000,"Band 3: 10-15L", L227&lt;2000000,"Band 4: 15-20L", L227&gt;=2000000,"Band 5: 20L+")</f>
        <v>Band 2: 5-10L</v>
      </c>
      <c r="AB227" t="str" cm="1">
        <f t="array" ref="AB227">_xlfn.IFS(N227=1,"Poor", N227=2,"Below Average", N227=3,"Average", N227=4,"Good", N227=5,"Excellent")</f>
        <v>Average</v>
      </c>
      <c r="AC227" s="14">
        <f t="shared" si="23"/>
        <v>66394.184999999998</v>
      </c>
      <c r="AD227" t="str" cm="1">
        <f t="array" ref="AD227">_xlfn.IFS(K227&lt;2,"Junior (0-2 yrs)", K227&lt;5,"Mid-Level (2-5 yrs)", K227&lt;10,"Senior (5-10 yrs)", K227&gt;=10,"Expert (10+ yrs)")</f>
        <v>Expert (10+ yrs)</v>
      </c>
    </row>
    <row r="228" spans="1:30" x14ac:dyDescent="0.3">
      <c r="A228" s="1" t="s">
        <v>1751</v>
      </c>
      <c r="B228" s="1" t="s">
        <v>1752</v>
      </c>
      <c r="C228" s="1" t="s">
        <v>110</v>
      </c>
      <c r="D228" s="1" t="s">
        <v>231</v>
      </c>
      <c r="E228" s="1" t="s">
        <v>71</v>
      </c>
      <c r="F228" s="1" t="s">
        <v>37</v>
      </c>
      <c r="G228" s="1">
        <v>48</v>
      </c>
      <c r="H228" s="1" t="s">
        <v>84</v>
      </c>
      <c r="I228" s="1" t="s">
        <v>74</v>
      </c>
      <c r="J228" s="5">
        <v>41953</v>
      </c>
      <c r="K228" s="8">
        <v>10.199999999999999</v>
      </c>
      <c r="L228" s="11">
        <v>2366135</v>
      </c>
      <c r="M228" s="12">
        <v>2.7900000000000001E-2</v>
      </c>
      <c r="N228" s="7">
        <v>4</v>
      </c>
      <c r="O228" s="1" t="s">
        <v>41</v>
      </c>
      <c r="P228" s="1">
        <v>9911311585</v>
      </c>
      <c r="Q228" s="1" t="s">
        <v>2759</v>
      </c>
      <c r="R228" s="10">
        <v>23</v>
      </c>
      <c r="S228" s="10">
        <v>40</v>
      </c>
      <c r="T228" s="1" t="s">
        <v>1100</v>
      </c>
      <c r="U228" t="str">
        <f t="shared" si="18"/>
        <v>Invalid</v>
      </c>
      <c r="V228">
        <f t="shared" si="19"/>
        <v>11</v>
      </c>
      <c r="W228" t="str">
        <f t="shared" si="20"/>
        <v>Nov</v>
      </c>
      <c r="X228">
        <f t="shared" si="21"/>
        <v>2014</v>
      </c>
      <c r="Y228">
        <f t="shared" ca="1" si="22"/>
        <v>11</v>
      </c>
      <c r="Z228" t="str" cm="1">
        <f t="array" ref="Z228">_xlfn.IFS(G228&lt;30,"20-29",G228&lt;40,"30-39",G228&lt;50,"40-49",G228&gt;=50,"50+")</f>
        <v>40-49</v>
      </c>
      <c r="AA228" t="str" cm="1">
        <f t="array" ref="AA228">_xlfn.IFS(L228&lt;500000,"Band 1: &lt;5L", L228&lt;1000000,"Band 2: 5-10L", L228&lt;1500000,"Band 3: 10-15L", L228&lt;2000000,"Band 4: 15-20L", L228&gt;=2000000,"Band 5: 20L+")</f>
        <v>Band 5: 20L+</v>
      </c>
      <c r="AB228" t="str" cm="1">
        <f t="array" ref="AB228">_xlfn.IFS(N228=1,"Poor", N228=2,"Below Average", N228=3,"Average", N228=4,"Good", N228=5,"Excellent")</f>
        <v>Good</v>
      </c>
      <c r="AC228" s="14">
        <f t="shared" si="23"/>
        <v>66015.166500000007</v>
      </c>
      <c r="AD228" t="str" cm="1">
        <f t="array" ref="AD228">_xlfn.IFS(K228&lt;2,"Junior (0-2 yrs)", K228&lt;5,"Mid-Level (2-5 yrs)", K228&lt;10,"Senior (5-10 yrs)", K228&gt;=10,"Expert (10+ yrs)")</f>
        <v>Expert (10+ yrs)</v>
      </c>
    </row>
    <row r="229" spans="1:30" x14ac:dyDescent="0.3">
      <c r="A229" s="1" t="s">
        <v>1756</v>
      </c>
      <c r="B229" s="1" t="s">
        <v>1757</v>
      </c>
      <c r="C229" s="1" t="s">
        <v>124</v>
      </c>
      <c r="D229" s="1" t="s">
        <v>111</v>
      </c>
      <c r="E229" s="1" t="s">
        <v>189</v>
      </c>
      <c r="F229" s="1" t="s">
        <v>37</v>
      </c>
      <c r="G229" s="1">
        <v>45</v>
      </c>
      <c r="H229" s="1" t="s">
        <v>73</v>
      </c>
      <c r="I229" s="1" t="s">
        <v>39</v>
      </c>
      <c r="J229" s="5">
        <v>41522</v>
      </c>
      <c r="K229" s="8">
        <v>20.2</v>
      </c>
      <c r="L229" s="11">
        <v>1991030</v>
      </c>
      <c r="M229" s="12">
        <v>4.3200000000000002E-2</v>
      </c>
      <c r="N229" s="7">
        <v>2</v>
      </c>
      <c r="O229" s="1" t="s">
        <v>76</v>
      </c>
      <c r="P229" s="1">
        <v>8183372818</v>
      </c>
      <c r="Q229" s="1" t="s">
        <v>2545</v>
      </c>
      <c r="R229" s="10">
        <v>0</v>
      </c>
      <c r="S229" s="10">
        <v>71</v>
      </c>
      <c r="T229" s="1" t="s">
        <v>568</v>
      </c>
      <c r="U229" t="str">
        <f t="shared" si="18"/>
        <v>Invalid</v>
      </c>
      <c r="V229">
        <f t="shared" si="19"/>
        <v>9</v>
      </c>
      <c r="W229" t="str">
        <f t="shared" si="20"/>
        <v>Sep</v>
      </c>
      <c r="X229">
        <f t="shared" si="21"/>
        <v>2013</v>
      </c>
      <c r="Y229">
        <f t="shared" ca="1" si="22"/>
        <v>12</v>
      </c>
      <c r="Z229" t="str" cm="1">
        <f t="array" ref="Z229">_xlfn.IFS(G229&lt;30,"20-29",G229&lt;40,"30-39",G229&lt;50,"40-49",G229&gt;=50,"50+")</f>
        <v>40-49</v>
      </c>
      <c r="AA229" t="str" cm="1">
        <f t="array" ref="AA229">_xlfn.IFS(L229&lt;500000,"Band 1: &lt;5L", L229&lt;1000000,"Band 2: 5-10L", L229&lt;1500000,"Band 3: 10-15L", L229&lt;2000000,"Band 4: 15-20L", L229&gt;=2000000,"Band 5: 20L+")</f>
        <v>Band 4: 15-20L</v>
      </c>
      <c r="AB229" t="str" cm="1">
        <f t="array" ref="AB229">_xlfn.IFS(N229=1,"Poor", N229=2,"Below Average", N229=3,"Average", N229=4,"Good", N229=5,"Excellent")</f>
        <v>Below Average</v>
      </c>
      <c r="AC229" s="14">
        <f t="shared" si="23"/>
        <v>86012.495999999999</v>
      </c>
      <c r="AD229" t="str" cm="1">
        <f t="array" ref="AD229">_xlfn.IFS(K229&lt;2,"Junior (0-2 yrs)", K229&lt;5,"Mid-Level (2-5 yrs)", K229&lt;10,"Senior (5-10 yrs)", K229&gt;=10,"Expert (10+ yrs)")</f>
        <v>Expert (10+ yrs)</v>
      </c>
    </row>
    <row r="230" spans="1:30" x14ac:dyDescent="0.3">
      <c r="A230" s="1" t="s">
        <v>599</v>
      </c>
      <c r="B230" s="1" t="s">
        <v>1769</v>
      </c>
      <c r="C230" s="1" t="s">
        <v>69</v>
      </c>
      <c r="D230" s="1" t="s">
        <v>83</v>
      </c>
      <c r="E230" s="1" t="s">
        <v>189</v>
      </c>
      <c r="F230" s="1" t="s">
        <v>93</v>
      </c>
      <c r="G230" s="1">
        <v>35</v>
      </c>
      <c r="H230" s="1" t="s">
        <v>50</v>
      </c>
      <c r="I230" s="1" t="s">
        <v>39</v>
      </c>
      <c r="J230" s="5">
        <v>41252</v>
      </c>
      <c r="K230" s="8">
        <v>28.9</v>
      </c>
      <c r="L230" s="11">
        <v>1298947</v>
      </c>
      <c r="M230" s="12">
        <v>0.187</v>
      </c>
      <c r="N230" s="7">
        <v>4</v>
      </c>
      <c r="O230" s="1" t="s">
        <v>76</v>
      </c>
      <c r="P230" s="1">
        <v>8774065466</v>
      </c>
      <c r="Q230" s="1" t="s">
        <v>2760</v>
      </c>
      <c r="R230" s="10">
        <v>64</v>
      </c>
      <c r="S230" s="10">
        <v>104</v>
      </c>
      <c r="T230" s="1" t="s">
        <v>381</v>
      </c>
      <c r="U230" t="str">
        <f t="shared" si="18"/>
        <v>Invalid</v>
      </c>
      <c r="V230">
        <f t="shared" si="19"/>
        <v>12</v>
      </c>
      <c r="W230" t="str">
        <f t="shared" si="20"/>
        <v>Dec</v>
      </c>
      <c r="X230">
        <f t="shared" si="21"/>
        <v>2012</v>
      </c>
      <c r="Y230">
        <f t="shared" ca="1" si="22"/>
        <v>13</v>
      </c>
      <c r="Z230" t="str" cm="1">
        <f t="array" ref="Z230">_xlfn.IFS(G230&lt;30,"20-29",G230&lt;40,"30-39",G230&lt;50,"40-49",G230&gt;=50,"50+")</f>
        <v>30-39</v>
      </c>
      <c r="AA230" t="str" cm="1">
        <f t="array" ref="AA230">_xlfn.IFS(L230&lt;500000,"Band 1: &lt;5L", L230&lt;1000000,"Band 2: 5-10L", L230&lt;1500000,"Band 3: 10-15L", L230&lt;2000000,"Band 4: 15-20L", L230&gt;=2000000,"Band 5: 20L+")</f>
        <v>Band 3: 10-15L</v>
      </c>
      <c r="AB230" t="str" cm="1">
        <f t="array" ref="AB230">_xlfn.IFS(N230=1,"Poor", N230=2,"Below Average", N230=3,"Average", N230=4,"Good", N230=5,"Excellent")</f>
        <v>Good</v>
      </c>
      <c r="AC230" s="14">
        <f t="shared" si="23"/>
        <v>242903.08900000001</v>
      </c>
      <c r="AD230" t="str" cm="1">
        <f t="array" ref="AD230">_xlfn.IFS(K230&lt;2,"Junior (0-2 yrs)", K230&lt;5,"Mid-Level (2-5 yrs)", K230&lt;10,"Senior (5-10 yrs)", K230&gt;=10,"Expert (10+ yrs)")</f>
        <v>Expert (10+ yrs)</v>
      </c>
    </row>
    <row r="231" spans="1:30" x14ac:dyDescent="0.3">
      <c r="A231" s="1" t="s">
        <v>1782</v>
      </c>
      <c r="B231" s="1" t="s">
        <v>1783</v>
      </c>
      <c r="C231" s="1" t="s">
        <v>58</v>
      </c>
      <c r="D231" s="1" t="s">
        <v>231</v>
      </c>
      <c r="E231" s="1" t="s">
        <v>102</v>
      </c>
      <c r="F231" s="1" t="s">
        <v>37</v>
      </c>
      <c r="G231" s="1">
        <v>53</v>
      </c>
      <c r="H231" s="1" t="s">
        <v>73</v>
      </c>
      <c r="I231" s="1" t="s">
        <v>39</v>
      </c>
      <c r="J231" s="5">
        <v>45440</v>
      </c>
      <c r="K231" s="8">
        <v>2.4</v>
      </c>
      <c r="L231" s="11">
        <v>2468445</v>
      </c>
      <c r="M231" s="12">
        <v>4.8000000000000001E-2</v>
      </c>
      <c r="N231" s="7">
        <v>4</v>
      </c>
      <c r="O231" s="1" t="s">
        <v>41</v>
      </c>
      <c r="P231" s="1">
        <v>8028278702</v>
      </c>
      <c r="Q231" s="1" t="s">
        <v>2761</v>
      </c>
      <c r="R231" s="10">
        <v>52</v>
      </c>
      <c r="S231" s="10">
        <v>76</v>
      </c>
      <c r="T231" s="1" t="s">
        <v>797</v>
      </c>
      <c r="U231" t="str">
        <f t="shared" si="18"/>
        <v>Valid</v>
      </c>
      <c r="V231">
        <f t="shared" si="19"/>
        <v>5</v>
      </c>
      <c r="W231" t="str">
        <f t="shared" si="20"/>
        <v>May</v>
      </c>
      <c r="X231">
        <f t="shared" si="21"/>
        <v>2024</v>
      </c>
      <c r="Y231">
        <f t="shared" ca="1" si="22"/>
        <v>1</v>
      </c>
      <c r="Z231" t="str" cm="1">
        <f t="array" ref="Z231">_xlfn.IFS(G231&lt;30,"20-29",G231&lt;40,"30-39",G231&lt;50,"40-49",G231&gt;=50,"50+")</f>
        <v>50+</v>
      </c>
      <c r="AA231" t="str" cm="1">
        <f t="array" ref="AA231">_xlfn.IFS(L231&lt;500000,"Band 1: &lt;5L", L231&lt;1000000,"Band 2: 5-10L", L231&lt;1500000,"Band 3: 10-15L", L231&lt;2000000,"Band 4: 15-20L", L231&gt;=2000000,"Band 5: 20L+")</f>
        <v>Band 5: 20L+</v>
      </c>
      <c r="AB231" t="str" cm="1">
        <f t="array" ref="AB231">_xlfn.IFS(N231=1,"Poor", N231=2,"Below Average", N231=3,"Average", N231=4,"Good", N231=5,"Excellent")</f>
        <v>Good</v>
      </c>
      <c r="AC231" s="14">
        <f t="shared" si="23"/>
        <v>118485.36</v>
      </c>
      <c r="AD231" t="str" cm="1">
        <f t="array" ref="AD231">_xlfn.IFS(K231&lt;2,"Junior (0-2 yrs)", K231&lt;5,"Mid-Level (2-5 yrs)", K231&lt;10,"Senior (5-10 yrs)", K231&gt;=10,"Expert (10+ yrs)")</f>
        <v>Mid-Level (2-5 yrs)</v>
      </c>
    </row>
    <row r="232" spans="1:30" x14ac:dyDescent="0.3">
      <c r="A232" s="1" t="s">
        <v>1790</v>
      </c>
      <c r="B232" s="1" t="s">
        <v>1791</v>
      </c>
      <c r="C232" s="1" t="s">
        <v>46</v>
      </c>
      <c r="D232" s="1" t="s">
        <v>83</v>
      </c>
      <c r="E232" s="1" t="s">
        <v>189</v>
      </c>
      <c r="F232" s="1" t="s">
        <v>93</v>
      </c>
      <c r="G232" s="1">
        <v>41</v>
      </c>
      <c r="H232" s="1" t="s">
        <v>62</v>
      </c>
      <c r="I232" s="1" t="s">
        <v>39</v>
      </c>
      <c r="J232" s="5">
        <v>45480</v>
      </c>
      <c r="K232" s="8">
        <v>21.9</v>
      </c>
      <c r="L232" s="11">
        <v>815802</v>
      </c>
      <c r="M232" s="12">
        <v>6.83E-2</v>
      </c>
      <c r="N232" s="7">
        <v>3</v>
      </c>
      <c r="O232" s="1" t="s">
        <v>41</v>
      </c>
      <c r="P232" s="1">
        <v>9728033887</v>
      </c>
      <c r="Q232" s="1" t="s">
        <v>2762</v>
      </c>
      <c r="R232" s="10">
        <v>41</v>
      </c>
      <c r="S232" s="10">
        <v>58</v>
      </c>
      <c r="T232" s="1" t="s">
        <v>712</v>
      </c>
      <c r="U232" t="str">
        <f t="shared" si="18"/>
        <v>Invalid</v>
      </c>
      <c r="V232">
        <f t="shared" si="19"/>
        <v>7</v>
      </c>
      <c r="W232" t="str">
        <f t="shared" si="20"/>
        <v>Jul</v>
      </c>
      <c r="X232">
        <f t="shared" si="21"/>
        <v>2024</v>
      </c>
      <c r="Y232">
        <f t="shared" ca="1" si="22"/>
        <v>1</v>
      </c>
      <c r="Z232" t="str" cm="1">
        <f t="array" ref="Z232">_xlfn.IFS(G232&lt;30,"20-29",G232&lt;40,"30-39",G232&lt;50,"40-49",G232&gt;=50,"50+")</f>
        <v>40-49</v>
      </c>
      <c r="AA232" t="str" cm="1">
        <f t="array" ref="AA232">_xlfn.IFS(L232&lt;500000,"Band 1: &lt;5L", L232&lt;1000000,"Band 2: 5-10L", L232&lt;1500000,"Band 3: 10-15L", L232&lt;2000000,"Band 4: 15-20L", L232&gt;=2000000,"Band 5: 20L+")</f>
        <v>Band 2: 5-10L</v>
      </c>
      <c r="AB232" t="str" cm="1">
        <f t="array" ref="AB232">_xlfn.IFS(N232=1,"Poor", N232=2,"Below Average", N232=3,"Average", N232=4,"Good", N232=5,"Excellent")</f>
        <v>Average</v>
      </c>
      <c r="AC232" s="14">
        <f t="shared" si="23"/>
        <v>55719.276599999997</v>
      </c>
      <c r="AD232" t="str" cm="1">
        <f t="array" ref="AD232">_xlfn.IFS(K232&lt;2,"Junior (0-2 yrs)", K232&lt;5,"Mid-Level (2-5 yrs)", K232&lt;10,"Senior (5-10 yrs)", K232&gt;=10,"Expert (10+ yrs)")</f>
        <v>Expert (10+ yrs)</v>
      </c>
    </row>
    <row r="233" spans="1:30" x14ac:dyDescent="0.3">
      <c r="A233" s="1" t="s">
        <v>1795</v>
      </c>
      <c r="B233" s="1" t="s">
        <v>1796</v>
      </c>
      <c r="C233" s="1" t="s">
        <v>197</v>
      </c>
      <c r="D233" s="1" t="s">
        <v>23</v>
      </c>
      <c r="E233" s="1" t="s">
        <v>155</v>
      </c>
      <c r="F233" s="1" t="s">
        <v>93</v>
      </c>
      <c r="G233" s="1">
        <v>46</v>
      </c>
      <c r="H233" s="1" t="s">
        <v>73</v>
      </c>
      <c r="I233" s="1" t="s">
        <v>39</v>
      </c>
      <c r="J233" s="5">
        <v>40925</v>
      </c>
      <c r="K233" s="8">
        <v>19.2</v>
      </c>
      <c r="L233" s="11">
        <v>1780234</v>
      </c>
      <c r="M233" s="12">
        <v>8.0700000000000008E-2</v>
      </c>
      <c r="N233" s="7">
        <v>3</v>
      </c>
      <c r="O233" s="1" t="s">
        <v>76</v>
      </c>
      <c r="P233" s="1">
        <v>8512916571</v>
      </c>
      <c r="Q233" s="1" t="s">
        <v>2763</v>
      </c>
      <c r="R233" s="10">
        <v>45</v>
      </c>
      <c r="S233" s="10">
        <v>27</v>
      </c>
      <c r="T233" s="1" t="s">
        <v>194</v>
      </c>
      <c r="U233" t="str">
        <f t="shared" si="18"/>
        <v>Invalid</v>
      </c>
      <c r="V233">
        <f t="shared" si="19"/>
        <v>1</v>
      </c>
      <c r="W233" t="str">
        <f t="shared" si="20"/>
        <v>Jan</v>
      </c>
      <c r="X233">
        <f t="shared" si="21"/>
        <v>2012</v>
      </c>
      <c r="Y233">
        <f t="shared" ca="1" si="22"/>
        <v>14</v>
      </c>
      <c r="Z233" t="str" cm="1">
        <f t="array" ref="Z233">_xlfn.IFS(G233&lt;30,"20-29",G233&lt;40,"30-39",G233&lt;50,"40-49",G233&gt;=50,"50+")</f>
        <v>40-49</v>
      </c>
      <c r="AA233" t="str" cm="1">
        <f t="array" ref="AA233">_xlfn.IFS(L233&lt;500000,"Band 1: &lt;5L", L233&lt;1000000,"Band 2: 5-10L", L233&lt;1500000,"Band 3: 10-15L", L233&lt;2000000,"Band 4: 15-20L", L233&gt;=2000000,"Band 5: 20L+")</f>
        <v>Band 4: 15-20L</v>
      </c>
      <c r="AB233" t="str" cm="1">
        <f t="array" ref="AB233">_xlfn.IFS(N233=1,"Poor", N233=2,"Below Average", N233=3,"Average", N233=4,"Good", N233=5,"Excellent")</f>
        <v>Average</v>
      </c>
      <c r="AC233" s="14">
        <f t="shared" si="23"/>
        <v>143664.88380000001</v>
      </c>
      <c r="AD233" t="str" cm="1">
        <f t="array" ref="AD233">_xlfn.IFS(K233&lt;2,"Junior (0-2 yrs)", K233&lt;5,"Mid-Level (2-5 yrs)", K233&lt;10,"Senior (5-10 yrs)", K233&gt;=10,"Expert (10+ yrs)")</f>
        <v>Expert (10+ yrs)</v>
      </c>
    </row>
    <row r="234" spans="1:30" x14ac:dyDescent="0.3">
      <c r="A234" s="1" t="s">
        <v>1800</v>
      </c>
      <c r="B234" s="1" t="s">
        <v>1801</v>
      </c>
      <c r="C234" s="1" t="s">
        <v>69</v>
      </c>
      <c r="D234" s="1" t="s">
        <v>23</v>
      </c>
      <c r="E234" s="1" t="s">
        <v>175</v>
      </c>
      <c r="F234" s="1" t="s">
        <v>93</v>
      </c>
      <c r="G234" s="1">
        <v>36</v>
      </c>
      <c r="H234" s="1" t="s">
        <v>38</v>
      </c>
      <c r="I234" s="1" t="s">
        <v>51</v>
      </c>
      <c r="J234" s="5">
        <v>43724</v>
      </c>
      <c r="K234" s="8">
        <v>9.1999999999999993</v>
      </c>
      <c r="L234" s="11">
        <v>1692020</v>
      </c>
      <c r="M234" s="12">
        <v>0.15529999999999999</v>
      </c>
      <c r="N234" s="7">
        <v>1</v>
      </c>
      <c r="O234" s="1" t="s">
        <v>41</v>
      </c>
      <c r="P234" s="1">
        <v>8914126243</v>
      </c>
      <c r="Q234" s="1" t="s">
        <v>2764</v>
      </c>
      <c r="R234" s="10">
        <v>41</v>
      </c>
      <c r="S234" s="10">
        <v>101</v>
      </c>
      <c r="T234" s="1" t="s">
        <v>166</v>
      </c>
      <c r="U234" t="str">
        <f t="shared" si="18"/>
        <v>Valid</v>
      </c>
      <c r="V234">
        <f t="shared" si="19"/>
        <v>9</v>
      </c>
      <c r="W234" t="str">
        <f t="shared" si="20"/>
        <v>Sep</v>
      </c>
      <c r="X234">
        <f t="shared" si="21"/>
        <v>2019</v>
      </c>
      <c r="Y234">
        <f t="shared" ca="1" si="22"/>
        <v>6</v>
      </c>
      <c r="Z234" t="str" cm="1">
        <f t="array" ref="Z234">_xlfn.IFS(G234&lt;30,"20-29",G234&lt;40,"30-39",G234&lt;50,"40-49",G234&gt;=50,"50+")</f>
        <v>30-39</v>
      </c>
      <c r="AA234" t="str" cm="1">
        <f t="array" ref="AA234">_xlfn.IFS(L234&lt;500000,"Band 1: &lt;5L", L234&lt;1000000,"Band 2: 5-10L", L234&lt;1500000,"Band 3: 10-15L", L234&lt;2000000,"Band 4: 15-20L", L234&gt;=2000000,"Band 5: 20L+")</f>
        <v>Band 4: 15-20L</v>
      </c>
      <c r="AB234" t="str" cm="1">
        <f t="array" ref="AB234">_xlfn.IFS(N234=1,"Poor", N234=2,"Below Average", N234=3,"Average", N234=4,"Good", N234=5,"Excellent")</f>
        <v>Poor</v>
      </c>
      <c r="AC234" s="14">
        <f t="shared" si="23"/>
        <v>262770.70600000001</v>
      </c>
      <c r="AD234" t="str" cm="1">
        <f t="array" ref="AD234">_xlfn.IFS(K234&lt;2,"Junior (0-2 yrs)", K234&lt;5,"Mid-Level (2-5 yrs)", K234&lt;10,"Senior (5-10 yrs)", K234&gt;=10,"Expert (10+ yrs)")</f>
        <v>Senior (5-10 yrs)</v>
      </c>
    </row>
    <row r="235" spans="1:30" x14ac:dyDescent="0.3">
      <c r="A235" s="1" t="s">
        <v>1805</v>
      </c>
      <c r="B235" s="1" t="s">
        <v>1806</v>
      </c>
      <c r="C235" s="1" t="s">
        <v>69</v>
      </c>
      <c r="D235" s="1" t="s">
        <v>23</v>
      </c>
      <c r="E235" s="1" t="s">
        <v>189</v>
      </c>
      <c r="F235" s="1" t="s">
        <v>37</v>
      </c>
      <c r="G235" s="1">
        <v>57</v>
      </c>
      <c r="H235" s="1" t="s">
        <v>38</v>
      </c>
      <c r="I235" s="1" t="s">
        <v>51</v>
      </c>
      <c r="J235" s="5">
        <v>44888</v>
      </c>
      <c r="K235" s="8">
        <v>29.8</v>
      </c>
      <c r="L235" s="11">
        <v>1930781</v>
      </c>
      <c r="M235" s="12">
        <v>0.13570000000000002</v>
      </c>
      <c r="N235" s="7">
        <v>1</v>
      </c>
      <c r="O235" s="1" t="s">
        <v>41</v>
      </c>
      <c r="P235" s="1">
        <v>8319069607</v>
      </c>
      <c r="Q235" s="1" t="s">
        <v>2765</v>
      </c>
      <c r="R235" s="10">
        <v>6</v>
      </c>
      <c r="S235" s="10">
        <v>6</v>
      </c>
      <c r="T235" s="1" t="s">
        <v>767</v>
      </c>
      <c r="U235" t="str">
        <f t="shared" si="18"/>
        <v>Valid</v>
      </c>
      <c r="V235">
        <f t="shared" si="19"/>
        <v>11</v>
      </c>
      <c r="W235" t="str">
        <f t="shared" si="20"/>
        <v>Nov</v>
      </c>
      <c r="X235">
        <f t="shared" si="21"/>
        <v>2022</v>
      </c>
      <c r="Y235">
        <f t="shared" ca="1" si="22"/>
        <v>3</v>
      </c>
      <c r="Z235" t="str" cm="1">
        <f t="array" ref="Z235">_xlfn.IFS(G235&lt;30,"20-29",G235&lt;40,"30-39",G235&lt;50,"40-49",G235&gt;=50,"50+")</f>
        <v>50+</v>
      </c>
      <c r="AA235" t="str" cm="1">
        <f t="array" ref="AA235">_xlfn.IFS(L235&lt;500000,"Band 1: &lt;5L", L235&lt;1000000,"Band 2: 5-10L", L235&lt;1500000,"Band 3: 10-15L", L235&lt;2000000,"Band 4: 15-20L", L235&gt;=2000000,"Band 5: 20L+")</f>
        <v>Band 4: 15-20L</v>
      </c>
      <c r="AB235" t="str" cm="1">
        <f t="array" ref="AB235">_xlfn.IFS(N235=1,"Poor", N235=2,"Below Average", N235=3,"Average", N235=4,"Good", N235=5,"Excellent")</f>
        <v>Poor</v>
      </c>
      <c r="AC235" s="14">
        <f t="shared" si="23"/>
        <v>262006.98170000003</v>
      </c>
      <c r="AD235" t="str" cm="1">
        <f t="array" ref="AD235">_xlfn.IFS(K235&lt;2,"Junior (0-2 yrs)", K235&lt;5,"Mid-Level (2-5 yrs)", K235&lt;10,"Senior (5-10 yrs)", K235&gt;=10,"Expert (10+ yrs)")</f>
        <v>Expert (10+ yrs)</v>
      </c>
    </row>
    <row r="236" spans="1:30" x14ac:dyDescent="0.3">
      <c r="A236" s="1" t="s">
        <v>1810</v>
      </c>
      <c r="B236" s="1" t="s">
        <v>1811</v>
      </c>
      <c r="C236" s="1" t="s">
        <v>124</v>
      </c>
      <c r="D236" s="1" t="s">
        <v>231</v>
      </c>
      <c r="E236" s="1" t="s">
        <v>189</v>
      </c>
      <c r="F236" s="1" t="s">
        <v>37</v>
      </c>
      <c r="G236" s="1">
        <v>42</v>
      </c>
      <c r="H236" s="1" t="s">
        <v>84</v>
      </c>
      <c r="I236" s="1" t="s">
        <v>27</v>
      </c>
      <c r="J236" s="5">
        <v>43145</v>
      </c>
      <c r="K236" s="8">
        <v>25.9</v>
      </c>
      <c r="L236" s="11">
        <v>1372828</v>
      </c>
      <c r="M236" s="12">
        <v>2.1700000000000001E-2</v>
      </c>
      <c r="N236" s="7">
        <v>5</v>
      </c>
      <c r="O236" s="1" t="s">
        <v>41</v>
      </c>
      <c r="P236" s="1">
        <v>7117373418</v>
      </c>
      <c r="Q236" s="1" t="s">
        <v>2766</v>
      </c>
      <c r="R236" s="10">
        <v>11</v>
      </c>
      <c r="S236" s="10">
        <v>92</v>
      </c>
      <c r="T236" s="1" t="s">
        <v>479</v>
      </c>
      <c r="U236" t="str">
        <f t="shared" si="18"/>
        <v>Valid</v>
      </c>
      <c r="V236">
        <f t="shared" si="19"/>
        <v>2</v>
      </c>
      <c r="W236" t="str">
        <f t="shared" si="20"/>
        <v>Feb</v>
      </c>
      <c r="X236">
        <f t="shared" si="21"/>
        <v>2018</v>
      </c>
      <c r="Y236">
        <f t="shared" ca="1" si="22"/>
        <v>8</v>
      </c>
      <c r="Z236" t="str" cm="1">
        <f t="array" ref="Z236">_xlfn.IFS(G236&lt;30,"20-29",G236&lt;40,"30-39",G236&lt;50,"40-49",G236&gt;=50,"50+")</f>
        <v>40-49</v>
      </c>
      <c r="AA236" t="str" cm="1">
        <f t="array" ref="AA236">_xlfn.IFS(L236&lt;500000,"Band 1: &lt;5L", L236&lt;1000000,"Band 2: 5-10L", L236&lt;1500000,"Band 3: 10-15L", L236&lt;2000000,"Band 4: 15-20L", L236&gt;=2000000,"Band 5: 20L+")</f>
        <v>Band 3: 10-15L</v>
      </c>
      <c r="AB236" t="str" cm="1">
        <f t="array" ref="AB236">_xlfn.IFS(N236=1,"Poor", N236=2,"Below Average", N236=3,"Average", N236=4,"Good", N236=5,"Excellent")</f>
        <v>Excellent</v>
      </c>
      <c r="AC236" s="14">
        <f t="shared" si="23"/>
        <v>29790.367600000001</v>
      </c>
      <c r="AD236" t="str" cm="1">
        <f t="array" ref="AD236">_xlfn.IFS(K236&lt;2,"Junior (0-2 yrs)", K236&lt;5,"Mid-Level (2-5 yrs)", K236&lt;10,"Senior (5-10 yrs)", K236&gt;=10,"Expert (10+ yrs)")</f>
        <v>Expert (10+ yrs)</v>
      </c>
    </row>
    <row r="237" spans="1:30" x14ac:dyDescent="0.3">
      <c r="A237" s="1" t="s">
        <v>1815</v>
      </c>
      <c r="B237" s="1" t="s">
        <v>2520</v>
      </c>
      <c r="C237" s="1" t="s">
        <v>132</v>
      </c>
      <c r="D237" s="1" t="s">
        <v>23</v>
      </c>
      <c r="E237" s="1" t="s">
        <v>71</v>
      </c>
      <c r="F237" s="1" t="s">
        <v>37</v>
      </c>
      <c r="G237" s="1">
        <v>58</v>
      </c>
      <c r="H237" s="1" t="s">
        <v>62</v>
      </c>
      <c r="I237" s="1" t="s">
        <v>74</v>
      </c>
      <c r="J237" s="5">
        <v>43286</v>
      </c>
      <c r="K237" s="8">
        <v>5.0999999999999996</v>
      </c>
      <c r="L237" s="11">
        <v>1253427</v>
      </c>
      <c r="M237" s="12">
        <v>0.15130000000000002</v>
      </c>
      <c r="N237" s="7">
        <v>3</v>
      </c>
      <c r="O237" s="1" t="s">
        <v>41</v>
      </c>
      <c r="P237" s="1">
        <v>8684876851</v>
      </c>
      <c r="Q237" s="1" t="s">
        <v>2767</v>
      </c>
      <c r="R237" s="10">
        <v>59</v>
      </c>
      <c r="S237" s="10">
        <v>83</v>
      </c>
      <c r="T237" s="1" t="s">
        <v>152</v>
      </c>
      <c r="U237" t="str">
        <f t="shared" si="18"/>
        <v>Invalid</v>
      </c>
      <c r="V237">
        <f t="shared" si="19"/>
        <v>7</v>
      </c>
      <c r="W237" t="str">
        <f t="shared" si="20"/>
        <v>Jul</v>
      </c>
      <c r="X237">
        <f t="shared" si="21"/>
        <v>2018</v>
      </c>
      <c r="Y237">
        <f t="shared" ca="1" si="22"/>
        <v>7</v>
      </c>
      <c r="Z237" t="str" cm="1">
        <f t="array" ref="Z237">_xlfn.IFS(G237&lt;30,"20-29",G237&lt;40,"30-39",G237&lt;50,"40-49",G237&gt;=50,"50+")</f>
        <v>50+</v>
      </c>
      <c r="AA237" t="str" cm="1">
        <f t="array" ref="AA237">_xlfn.IFS(L237&lt;500000,"Band 1: &lt;5L", L237&lt;1000000,"Band 2: 5-10L", L237&lt;1500000,"Band 3: 10-15L", L237&lt;2000000,"Band 4: 15-20L", L237&gt;=2000000,"Band 5: 20L+")</f>
        <v>Band 3: 10-15L</v>
      </c>
      <c r="AB237" t="str" cm="1">
        <f t="array" ref="AB237">_xlfn.IFS(N237=1,"Poor", N237=2,"Below Average", N237=3,"Average", N237=4,"Good", N237=5,"Excellent")</f>
        <v>Average</v>
      </c>
      <c r="AC237" s="14">
        <f t="shared" si="23"/>
        <v>189643.50510000001</v>
      </c>
      <c r="AD237" t="str" cm="1">
        <f t="array" ref="AD237">_xlfn.IFS(K237&lt;2,"Junior (0-2 yrs)", K237&lt;5,"Mid-Level (2-5 yrs)", K237&lt;10,"Senior (5-10 yrs)", K237&gt;=10,"Expert (10+ yrs)")</f>
        <v>Senior (5-10 yrs)</v>
      </c>
    </row>
    <row r="238" spans="1:30" x14ac:dyDescent="0.3">
      <c r="A238" s="1" t="s">
        <v>1829</v>
      </c>
      <c r="B238" s="1" t="s">
        <v>1830</v>
      </c>
      <c r="C238" s="1" t="s">
        <v>132</v>
      </c>
      <c r="D238" s="1" t="s">
        <v>231</v>
      </c>
      <c r="E238" s="1" t="s">
        <v>60</v>
      </c>
      <c r="F238" s="1" t="s">
        <v>93</v>
      </c>
      <c r="G238" s="1">
        <v>27</v>
      </c>
      <c r="H238" s="1" t="s">
        <v>38</v>
      </c>
      <c r="I238" s="1" t="s">
        <v>39</v>
      </c>
      <c r="J238" s="5">
        <v>40402</v>
      </c>
      <c r="K238" s="8">
        <v>23</v>
      </c>
      <c r="L238" s="11">
        <v>2366386</v>
      </c>
      <c r="M238" s="12">
        <v>7.0099999999999996E-2</v>
      </c>
      <c r="N238" s="7">
        <v>4</v>
      </c>
      <c r="O238" s="1" t="s">
        <v>41</v>
      </c>
      <c r="P238" s="1">
        <v>8179969405</v>
      </c>
      <c r="Q238" s="1" t="s">
        <v>2768</v>
      </c>
      <c r="R238" s="10">
        <v>73</v>
      </c>
      <c r="S238" s="10">
        <v>67</v>
      </c>
      <c r="T238" s="1" t="s">
        <v>797</v>
      </c>
      <c r="U238" t="str">
        <f t="shared" si="18"/>
        <v>Invalid</v>
      </c>
      <c r="V238">
        <f t="shared" si="19"/>
        <v>8</v>
      </c>
      <c r="W238" t="str">
        <f t="shared" si="20"/>
        <v>Aug</v>
      </c>
      <c r="X238">
        <f t="shared" si="21"/>
        <v>2010</v>
      </c>
      <c r="Y238">
        <f t="shared" ca="1" si="22"/>
        <v>15</v>
      </c>
      <c r="Z238" t="str" cm="1">
        <f t="array" ref="Z238">_xlfn.IFS(G238&lt;30,"20-29",G238&lt;40,"30-39",G238&lt;50,"40-49",G238&gt;=50,"50+")</f>
        <v>20-29</v>
      </c>
      <c r="AA238" t="str" cm="1">
        <f t="array" ref="AA238">_xlfn.IFS(L238&lt;500000,"Band 1: &lt;5L", L238&lt;1000000,"Band 2: 5-10L", L238&lt;1500000,"Band 3: 10-15L", L238&lt;2000000,"Band 4: 15-20L", L238&gt;=2000000,"Band 5: 20L+")</f>
        <v>Band 5: 20L+</v>
      </c>
      <c r="AB238" t="str" cm="1">
        <f t="array" ref="AB238">_xlfn.IFS(N238=1,"Poor", N238=2,"Below Average", N238=3,"Average", N238=4,"Good", N238=5,"Excellent")</f>
        <v>Good</v>
      </c>
      <c r="AC238" s="14">
        <f t="shared" si="23"/>
        <v>165883.6586</v>
      </c>
      <c r="AD238" t="str" cm="1">
        <f t="array" ref="AD238">_xlfn.IFS(K238&lt;2,"Junior (0-2 yrs)", K238&lt;5,"Mid-Level (2-5 yrs)", K238&lt;10,"Senior (5-10 yrs)", K238&gt;=10,"Expert (10+ yrs)")</f>
        <v>Expert (10+ yrs)</v>
      </c>
    </row>
    <row r="239" spans="1:30" x14ac:dyDescent="0.3">
      <c r="A239" s="1" t="s">
        <v>1837</v>
      </c>
      <c r="B239" s="1" t="s">
        <v>1838</v>
      </c>
      <c r="C239" s="1" t="s">
        <v>197</v>
      </c>
      <c r="D239" s="1" t="s">
        <v>101</v>
      </c>
      <c r="E239" s="1" t="s">
        <v>168</v>
      </c>
      <c r="F239" s="1" t="s">
        <v>37</v>
      </c>
      <c r="G239" s="1">
        <v>55</v>
      </c>
      <c r="H239" s="1" t="s">
        <v>142</v>
      </c>
      <c r="I239" s="1" t="s">
        <v>39</v>
      </c>
      <c r="J239" s="5">
        <v>43459</v>
      </c>
      <c r="K239" s="8">
        <v>14.5</v>
      </c>
      <c r="L239" s="11">
        <v>788610</v>
      </c>
      <c r="M239" s="12">
        <v>0.2147</v>
      </c>
      <c r="N239" s="7">
        <v>5</v>
      </c>
      <c r="O239" s="1" t="s">
        <v>41</v>
      </c>
      <c r="P239" s="1">
        <v>8056723350</v>
      </c>
      <c r="Q239" s="1" t="s">
        <v>2769</v>
      </c>
      <c r="R239" s="10">
        <v>38</v>
      </c>
      <c r="S239" s="10">
        <v>17</v>
      </c>
      <c r="T239" s="1" t="s">
        <v>172</v>
      </c>
      <c r="U239" t="str">
        <f t="shared" si="18"/>
        <v>Valid</v>
      </c>
      <c r="V239">
        <f t="shared" si="19"/>
        <v>12</v>
      </c>
      <c r="W239" t="str">
        <f t="shared" si="20"/>
        <v>Dec</v>
      </c>
      <c r="X239">
        <f t="shared" si="21"/>
        <v>2018</v>
      </c>
      <c r="Y239">
        <f t="shared" ca="1" si="22"/>
        <v>7</v>
      </c>
      <c r="Z239" t="str" cm="1">
        <f t="array" ref="Z239">_xlfn.IFS(G239&lt;30,"20-29",G239&lt;40,"30-39",G239&lt;50,"40-49",G239&gt;=50,"50+")</f>
        <v>50+</v>
      </c>
      <c r="AA239" t="str" cm="1">
        <f t="array" ref="AA239">_xlfn.IFS(L239&lt;500000,"Band 1: &lt;5L", L239&lt;1000000,"Band 2: 5-10L", L239&lt;1500000,"Band 3: 10-15L", L239&lt;2000000,"Band 4: 15-20L", L239&gt;=2000000,"Band 5: 20L+")</f>
        <v>Band 2: 5-10L</v>
      </c>
      <c r="AB239" t="str" cm="1">
        <f t="array" ref="AB239">_xlfn.IFS(N239=1,"Poor", N239=2,"Below Average", N239=3,"Average", N239=4,"Good", N239=5,"Excellent")</f>
        <v>Excellent</v>
      </c>
      <c r="AC239" s="14">
        <f t="shared" si="23"/>
        <v>169314.56700000001</v>
      </c>
      <c r="AD239" t="str" cm="1">
        <f t="array" ref="AD239">_xlfn.IFS(K239&lt;2,"Junior (0-2 yrs)", K239&lt;5,"Mid-Level (2-5 yrs)", K239&lt;10,"Senior (5-10 yrs)", K239&gt;=10,"Expert (10+ yrs)")</f>
        <v>Expert (10+ yrs)</v>
      </c>
    </row>
    <row r="240" spans="1:30" x14ac:dyDescent="0.3">
      <c r="A240" s="1" t="s">
        <v>1842</v>
      </c>
      <c r="B240" s="1" t="s">
        <v>1843</v>
      </c>
      <c r="C240" s="1" t="s">
        <v>110</v>
      </c>
      <c r="D240" s="1" t="s">
        <v>101</v>
      </c>
      <c r="E240" s="1" t="s">
        <v>48</v>
      </c>
      <c r="F240" s="1" t="s">
        <v>37</v>
      </c>
      <c r="G240" s="1">
        <v>34</v>
      </c>
      <c r="H240" s="1" t="s">
        <v>103</v>
      </c>
      <c r="I240" s="1" t="s">
        <v>39</v>
      </c>
      <c r="J240" s="5">
        <v>44951</v>
      </c>
      <c r="K240" s="8">
        <v>3.5</v>
      </c>
      <c r="L240" s="11">
        <v>1164631</v>
      </c>
      <c r="M240" s="12">
        <v>7.5700000000000003E-2</v>
      </c>
      <c r="N240" s="7">
        <v>3</v>
      </c>
      <c r="O240" s="1" t="s">
        <v>41</v>
      </c>
      <c r="P240" s="1">
        <v>8354358858</v>
      </c>
      <c r="Q240" s="1" t="s">
        <v>2770</v>
      </c>
      <c r="R240" s="10">
        <v>34</v>
      </c>
      <c r="S240" s="10">
        <v>117</v>
      </c>
      <c r="T240" s="1" t="s">
        <v>201</v>
      </c>
      <c r="U240" t="str">
        <f t="shared" si="18"/>
        <v>Valid</v>
      </c>
      <c r="V240">
        <f t="shared" si="19"/>
        <v>1</v>
      </c>
      <c r="W240" t="str">
        <f t="shared" si="20"/>
        <v>Jan</v>
      </c>
      <c r="X240">
        <f t="shared" si="21"/>
        <v>2023</v>
      </c>
      <c r="Y240">
        <f t="shared" ca="1" si="22"/>
        <v>3</v>
      </c>
      <c r="Z240" t="str" cm="1">
        <f t="array" ref="Z240">_xlfn.IFS(G240&lt;30,"20-29",G240&lt;40,"30-39",G240&lt;50,"40-49",G240&gt;=50,"50+")</f>
        <v>30-39</v>
      </c>
      <c r="AA240" t="str" cm="1">
        <f t="array" ref="AA240">_xlfn.IFS(L240&lt;500000,"Band 1: &lt;5L", L240&lt;1000000,"Band 2: 5-10L", L240&lt;1500000,"Band 3: 10-15L", L240&lt;2000000,"Band 4: 15-20L", L240&gt;=2000000,"Band 5: 20L+")</f>
        <v>Band 3: 10-15L</v>
      </c>
      <c r="AB240" t="str" cm="1">
        <f t="array" ref="AB240">_xlfn.IFS(N240=1,"Poor", N240=2,"Below Average", N240=3,"Average", N240=4,"Good", N240=5,"Excellent")</f>
        <v>Average</v>
      </c>
      <c r="AC240" s="14">
        <f t="shared" si="23"/>
        <v>88162.56670000001</v>
      </c>
      <c r="AD240" t="str" cm="1">
        <f t="array" ref="AD240">_xlfn.IFS(K240&lt;2,"Junior (0-2 yrs)", K240&lt;5,"Mid-Level (2-5 yrs)", K240&lt;10,"Senior (5-10 yrs)", K240&gt;=10,"Expert (10+ yrs)")</f>
        <v>Mid-Level (2-5 yrs)</v>
      </c>
    </row>
    <row r="241" spans="1:30" x14ac:dyDescent="0.3">
      <c r="A241" s="1" t="s">
        <v>1852</v>
      </c>
      <c r="B241" s="1" t="s">
        <v>1853</v>
      </c>
      <c r="C241" s="1" t="s">
        <v>197</v>
      </c>
      <c r="D241" s="1" t="s">
        <v>23</v>
      </c>
      <c r="E241" s="1" t="s">
        <v>155</v>
      </c>
      <c r="F241" s="1" t="s">
        <v>37</v>
      </c>
      <c r="G241" s="1">
        <v>28</v>
      </c>
      <c r="H241" s="1" t="s">
        <v>26</v>
      </c>
      <c r="I241" s="1" t="s">
        <v>39</v>
      </c>
      <c r="J241" s="5">
        <v>44330</v>
      </c>
      <c r="K241" s="8">
        <v>20.8</v>
      </c>
      <c r="L241" s="11">
        <v>667713</v>
      </c>
      <c r="M241" s="12">
        <v>0.1241</v>
      </c>
      <c r="N241" s="7">
        <v>3</v>
      </c>
      <c r="O241" s="1" t="s">
        <v>41</v>
      </c>
      <c r="P241" s="1">
        <v>9676813221</v>
      </c>
      <c r="Q241" s="1" t="s">
        <v>2771</v>
      </c>
      <c r="R241" s="10">
        <v>63</v>
      </c>
      <c r="S241" s="10">
        <v>23</v>
      </c>
      <c r="T241" s="1" t="s">
        <v>832</v>
      </c>
      <c r="U241" t="str">
        <f t="shared" si="18"/>
        <v>Invalid</v>
      </c>
      <c r="V241">
        <f t="shared" si="19"/>
        <v>5</v>
      </c>
      <c r="W241" t="str">
        <f t="shared" si="20"/>
        <v>May</v>
      </c>
      <c r="X241">
        <f t="shared" si="21"/>
        <v>2021</v>
      </c>
      <c r="Y241">
        <f t="shared" ca="1" si="22"/>
        <v>4</v>
      </c>
      <c r="Z241" t="str" cm="1">
        <f t="array" ref="Z241">_xlfn.IFS(G241&lt;30,"20-29",G241&lt;40,"30-39",G241&lt;50,"40-49",G241&gt;=50,"50+")</f>
        <v>20-29</v>
      </c>
      <c r="AA241" t="str" cm="1">
        <f t="array" ref="AA241">_xlfn.IFS(L241&lt;500000,"Band 1: &lt;5L", L241&lt;1000000,"Band 2: 5-10L", L241&lt;1500000,"Band 3: 10-15L", L241&lt;2000000,"Band 4: 15-20L", L241&gt;=2000000,"Band 5: 20L+")</f>
        <v>Band 2: 5-10L</v>
      </c>
      <c r="AB241" t="str" cm="1">
        <f t="array" ref="AB241">_xlfn.IFS(N241=1,"Poor", N241=2,"Below Average", N241=3,"Average", N241=4,"Good", N241=5,"Excellent")</f>
        <v>Average</v>
      </c>
      <c r="AC241" s="14">
        <f t="shared" si="23"/>
        <v>82863.183300000004</v>
      </c>
      <c r="AD241" t="str" cm="1">
        <f t="array" ref="AD241">_xlfn.IFS(K241&lt;2,"Junior (0-2 yrs)", K241&lt;5,"Mid-Level (2-5 yrs)", K241&lt;10,"Senior (5-10 yrs)", K241&gt;=10,"Expert (10+ yrs)")</f>
        <v>Expert (10+ yrs)</v>
      </c>
    </row>
    <row r="242" spans="1:30" x14ac:dyDescent="0.3">
      <c r="A242" s="1" t="s">
        <v>1861</v>
      </c>
      <c r="B242" s="1" t="s">
        <v>1862</v>
      </c>
      <c r="C242" s="1" t="s">
        <v>69</v>
      </c>
      <c r="D242" s="1" t="s">
        <v>244</v>
      </c>
      <c r="E242" s="1" t="s">
        <v>175</v>
      </c>
      <c r="F242" s="1" t="s">
        <v>93</v>
      </c>
      <c r="G242" s="1">
        <v>46</v>
      </c>
      <c r="H242" s="1" t="s">
        <v>218</v>
      </c>
      <c r="I242" s="1" t="s">
        <v>39</v>
      </c>
      <c r="J242" s="5">
        <v>44516</v>
      </c>
      <c r="K242" s="8">
        <v>6.6</v>
      </c>
      <c r="L242" s="11">
        <v>1166038</v>
      </c>
      <c r="M242" s="12">
        <v>5.04E-2</v>
      </c>
      <c r="N242" s="7">
        <v>5</v>
      </c>
      <c r="O242" s="1" t="s">
        <v>41</v>
      </c>
      <c r="P242" s="1">
        <v>7871761712</v>
      </c>
      <c r="Q242" s="1" t="s">
        <v>2772</v>
      </c>
      <c r="R242" s="10">
        <v>57</v>
      </c>
      <c r="S242" s="10">
        <v>51</v>
      </c>
      <c r="T242" s="1" t="s">
        <v>309</v>
      </c>
      <c r="U242" t="str">
        <f t="shared" si="18"/>
        <v>Invalid</v>
      </c>
      <c r="V242">
        <f t="shared" si="19"/>
        <v>11</v>
      </c>
      <c r="W242" t="str">
        <f t="shared" si="20"/>
        <v>Nov</v>
      </c>
      <c r="X242">
        <f t="shared" si="21"/>
        <v>2021</v>
      </c>
      <c r="Y242">
        <f t="shared" ca="1" si="22"/>
        <v>4</v>
      </c>
      <c r="Z242" t="str" cm="1">
        <f t="array" ref="Z242">_xlfn.IFS(G242&lt;30,"20-29",G242&lt;40,"30-39",G242&lt;50,"40-49",G242&gt;=50,"50+")</f>
        <v>40-49</v>
      </c>
      <c r="AA242" t="str" cm="1">
        <f t="array" ref="AA242">_xlfn.IFS(L242&lt;500000,"Band 1: &lt;5L", L242&lt;1000000,"Band 2: 5-10L", L242&lt;1500000,"Band 3: 10-15L", L242&lt;2000000,"Band 4: 15-20L", L242&gt;=2000000,"Band 5: 20L+")</f>
        <v>Band 3: 10-15L</v>
      </c>
      <c r="AB242" t="str" cm="1">
        <f t="array" ref="AB242">_xlfn.IFS(N242=1,"Poor", N242=2,"Below Average", N242=3,"Average", N242=4,"Good", N242=5,"Excellent")</f>
        <v>Excellent</v>
      </c>
      <c r="AC242" s="14">
        <f t="shared" si="23"/>
        <v>58768.315199999997</v>
      </c>
      <c r="AD242" t="str" cm="1">
        <f t="array" ref="AD242">_xlfn.IFS(K242&lt;2,"Junior (0-2 yrs)", K242&lt;5,"Mid-Level (2-5 yrs)", K242&lt;10,"Senior (5-10 yrs)", K242&gt;=10,"Expert (10+ yrs)")</f>
        <v>Senior (5-10 yrs)</v>
      </c>
    </row>
    <row r="243" spans="1:30" x14ac:dyDescent="0.3">
      <c r="A243" s="1" t="s">
        <v>213</v>
      </c>
      <c r="B243" s="1" t="s">
        <v>1866</v>
      </c>
      <c r="C243" s="1" t="s">
        <v>110</v>
      </c>
      <c r="D243" s="1" t="s">
        <v>83</v>
      </c>
      <c r="E243" s="1" t="s">
        <v>92</v>
      </c>
      <c r="F243" s="1" t="s">
        <v>37</v>
      </c>
      <c r="G243" s="1">
        <v>42</v>
      </c>
      <c r="H243" s="1" t="s">
        <v>204</v>
      </c>
      <c r="I243" s="1" t="s">
        <v>51</v>
      </c>
      <c r="J243" s="5">
        <v>43501</v>
      </c>
      <c r="K243" s="8">
        <v>6.5</v>
      </c>
      <c r="L243" s="11">
        <v>1279836</v>
      </c>
      <c r="M243" s="12">
        <v>7.7100000000000002E-2</v>
      </c>
      <c r="N243" s="7">
        <v>4</v>
      </c>
      <c r="O243" s="1" t="s">
        <v>76</v>
      </c>
      <c r="P243" s="1">
        <v>7518560332</v>
      </c>
      <c r="Q243" s="1" t="s">
        <v>2773</v>
      </c>
      <c r="R243" s="10">
        <v>15</v>
      </c>
      <c r="S243" s="10">
        <v>103</v>
      </c>
      <c r="T243" s="1" t="s">
        <v>107</v>
      </c>
      <c r="U243" t="str">
        <f t="shared" si="18"/>
        <v>Valid</v>
      </c>
      <c r="V243">
        <f t="shared" si="19"/>
        <v>2</v>
      </c>
      <c r="W243" t="str">
        <f t="shared" si="20"/>
        <v>Feb</v>
      </c>
      <c r="X243">
        <f t="shared" si="21"/>
        <v>2019</v>
      </c>
      <c r="Y243">
        <f t="shared" ca="1" si="22"/>
        <v>7</v>
      </c>
      <c r="Z243" t="str" cm="1">
        <f t="array" ref="Z243">_xlfn.IFS(G243&lt;30,"20-29",G243&lt;40,"30-39",G243&lt;50,"40-49",G243&gt;=50,"50+")</f>
        <v>40-49</v>
      </c>
      <c r="AA243" t="str" cm="1">
        <f t="array" ref="AA243">_xlfn.IFS(L243&lt;500000,"Band 1: &lt;5L", L243&lt;1000000,"Band 2: 5-10L", L243&lt;1500000,"Band 3: 10-15L", L243&lt;2000000,"Band 4: 15-20L", L243&gt;=2000000,"Band 5: 20L+")</f>
        <v>Band 3: 10-15L</v>
      </c>
      <c r="AB243" t="str" cm="1">
        <f t="array" ref="AB243">_xlfn.IFS(N243=1,"Poor", N243=2,"Below Average", N243=3,"Average", N243=4,"Good", N243=5,"Excellent")</f>
        <v>Good</v>
      </c>
      <c r="AC243" s="14">
        <f t="shared" si="23"/>
        <v>98675.355599999995</v>
      </c>
      <c r="AD243" t="str" cm="1">
        <f t="array" ref="AD243">_xlfn.IFS(K243&lt;2,"Junior (0-2 yrs)", K243&lt;5,"Mid-Level (2-5 yrs)", K243&lt;10,"Senior (5-10 yrs)", K243&gt;=10,"Expert (10+ yrs)")</f>
        <v>Senior (5-10 yrs)</v>
      </c>
    </row>
    <row r="244" spans="1:30" x14ac:dyDescent="0.3">
      <c r="A244" s="1" t="s">
        <v>1870</v>
      </c>
      <c r="B244" s="1" t="s">
        <v>1871</v>
      </c>
      <c r="C244" s="1" t="s">
        <v>124</v>
      </c>
      <c r="D244" s="1" t="s">
        <v>83</v>
      </c>
      <c r="E244" s="1" t="s">
        <v>155</v>
      </c>
      <c r="F244" s="1" t="s">
        <v>37</v>
      </c>
      <c r="G244" s="1">
        <v>31</v>
      </c>
      <c r="H244" s="1" t="s">
        <v>142</v>
      </c>
      <c r="I244" s="1" t="s">
        <v>198</v>
      </c>
      <c r="J244" s="5">
        <v>44216</v>
      </c>
      <c r="K244" s="8">
        <v>7.6</v>
      </c>
      <c r="L244" s="11">
        <v>2493985</v>
      </c>
      <c r="M244" s="12">
        <v>1.1000000000000001E-3</v>
      </c>
      <c r="N244" s="7">
        <v>4</v>
      </c>
      <c r="O244" s="1" t="s">
        <v>41</v>
      </c>
      <c r="P244" s="1">
        <v>9693767622</v>
      </c>
      <c r="Q244" s="1" t="s">
        <v>2774</v>
      </c>
      <c r="R244" s="10">
        <v>15</v>
      </c>
      <c r="S244" s="10">
        <v>12</v>
      </c>
      <c r="T244" s="1" t="s">
        <v>97</v>
      </c>
      <c r="U244" t="str">
        <f t="shared" si="18"/>
        <v>Invalid</v>
      </c>
      <c r="V244">
        <f t="shared" si="19"/>
        <v>1</v>
      </c>
      <c r="W244" t="str">
        <f t="shared" si="20"/>
        <v>Jan</v>
      </c>
      <c r="X244">
        <f t="shared" si="21"/>
        <v>2021</v>
      </c>
      <c r="Y244">
        <f t="shared" ca="1" si="22"/>
        <v>5</v>
      </c>
      <c r="Z244" t="str" cm="1">
        <f t="array" ref="Z244">_xlfn.IFS(G244&lt;30,"20-29",G244&lt;40,"30-39",G244&lt;50,"40-49",G244&gt;=50,"50+")</f>
        <v>30-39</v>
      </c>
      <c r="AA244" t="str" cm="1">
        <f t="array" ref="AA244">_xlfn.IFS(L244&lt;500000,"Band 1: &lt;5L", L244&lt;1000000,"Band 2: 5-10L", L244&lt;1500000,"Band 3: 10-15L", L244&lt;2000000,"Band 4: 15-20L", L244&gt;=2000000,"Band 5: 20L+")</f>
        <v>Band 5: 20L+</v>
      </c>
      <c r="AB244" t="str" cm="1">
        <f t="array" ref="AB244">_xlfn.IFS(N244=1,"Poor", N244=2,"Below Average", N244=3,"Average", N244=4,"Good", N244=5,"Excellent")</f>
        <v>Good</v>
      </c>
      <c r="AC244" s="14">
        <f t="shared" si="23"/>
        <v>2743.3835000000004</v>
      </c>
      <c r="AD244" t="str" cm="1">
        <f t="array" ref="AD244">_xlfn.IFS(K244&lt;2,"Junior (0-2 yrs)", K244&lt;5,"Mid-Level (2-5 yrs)", K244&lt;10,"Senior (5-10 yrs)", K244&gt;=10,"Expert (10+ yrs)")</f>
        <v>Senior (5-10 yrs)</v>
      </c>
    </row>
    <row r="245" spans="1:30" x14ac:dyDescent="0.3">
      <c r="A245" s="1" t="s">
        <v>1875</v>
      </c>
      <c r="B245" s="1" t="s">
        <v>1876</v>
      </c>
      <c r="C245" s="1" t="s">
        <v>110</v>
      </c>
      <c r="D245" s="1" t="s">
        <v>23</v>
      </c>
      <c r="E245" s="1" t="s">
        <v>71</v>
      </c>
      <c r="F245" s="1" t="s">
        <v>37</v>
      </c>
      <c r="G245" s="1">
        <v>55</v>
      </c>
      <c r="H245" s="1" t="s">
        <v>50</v>
      </c>
      <c r="I245" s="1" t="s">
        <v>27</v>
      </c>
      <c r="J245" s="5">
        <v>41766</v>
      </c>
      <c r="K245" s="8">
        <v>12</v>
      </c>
      <c r="L245" s="11">
        <v>1763162</v>
      </c>
      <c r="M245" s="12">
        <v>0.24239999999999998</v>
      </c>
      <c r="N245" s="7">
        <v>5</v>
      </c>
      <c r="O245" s="1" t="s">
        <v>41</v>
      </c>
      <c r="P245" s="1">
        <v>9433796605</v>
      </c>
      <c r="Q245" s="1" t="s">
        <v>2775</v>
      </c>
      <c r="R245" s="10">
        <v>18</v>
      </c>
      <c r="S245" s="10">
        <v>19</v>
      </c>
      <c r="T245" s="1" t="s">
        <v>79</v>
      </c>
      <c r="U245" t="str">
        <f t="shared" si="18"/>
        <v>Invalid</v>
      </c>
      <c r="V245">
        <f t="shared" si="19"/>
        <v>5</v>
      </c>
      <c r="W245" t="str">
        <f t="shared" si="20"/>
        <v>May</v>
      </c>
      <c r="X245">
        <f t="shared" si="21"/>
        <v>2014</v>
      </c>
      <c r="Y245">
        <f t="shared" ca="1" si="22"/>
        <v>11</v>
      </c>
      <c r="Z245" t="str" cm="1">
        <f t="array" ref="Z245">_xlfn.IFS(G245&lt;30,"20-29",G245&lt;40,"30-39",G245&lt;50,"40-49",G245&gt;=50,"50+")</f>
        <v>50+</v>
      </c>
      <c r="AA245" t="str" cm="1">
        <f t="array" ref="AA245">_xlfn.IFS(L245&lt;500000,"Band 1: &lt;5L", L245&lt;1000000,"Band 2: 5-10L", L245&lt;1500000,"Band 3: 10-15L", L245&lt;2000000,"Band 4: 15-20L", L245&gt;=2000000,"Band 5: 20L+")</f>
        <v>Band 4: 15-20L</v>
      </c>
      <c r="AB245" t="str" cm="1">
        <f t="array" ref="AB245">_xlfn.IFS(N245=1,"Poor", N245=2,"Below Average", N245=3,"Average", N245=4,"Good", N245=5,"Excellent")</f>
        <v>Excellent</v>
      </c>
      <c r="AC245" s="14">
        <f t="shared" si="23"/>
        <v>427390.46879999997</v>
      </c>
      <c r="AD245" t="str" cm="1">
        <f t="array" ref="AD245">_xlfn.IFS(K245&lt;2,"Junior (0-2 yrs)", K245&lt;5,"Mid-Level (2-5 yrs)", K245&lt;10,"Senior (5-10 yrs)", K245&gt;=10,"Expert (10+ yrs)")</f>
        <v>Expert (10+ yrs)</v>
      </c>
    </row>
    <row r="246" spans="1:30" x14ac:dyDescent="0.3">
      <c r="A246" s="1" t="s">
        <v>1880</v>
      </c>
      <c r="B246" s="1" t="s">
        <v>1881</v>
      </c>
      <c r="C246" s="1" t="s">
        <v>132</v>
      </c>
      <c r="D246" s="1" t="s">
        <v>244</v>
      </c>
      <c r="E246" s="1" t="s">
        <v>60</v>
      </c>
      <c r="F246" s="1" t="s">
        <v>37</v>
      </c>
      <c r="G246" s="1">
        <v>25</v>
      </c>
      <c r="H246" s="1" t="s">
        <v>142</v>
      </c>
      <c r="I246" s="1" t="s">
        <v>39</v>
      </c>
      <c r="J246" s="5">
        <v>41856</v>
      </c>
      <c r="K246" s="8">
        <v>26.1</v>
      </c>
      <c r="L246" s="11">
        <v>1813550</v>
      </c>
      <c r="M246" s="12">
        <v>3.4500000000000003E-2</v>
      </c>
      <c r="N246" s="7">
        <v>4</v>
      </c>
      <c r="O246" s="1" t="s">
        <v>76</v>
      </c>
      <c r="P246" s="1">
        <v>8041518442</v>
      </c>
      <c r="Q246" s="1" t="s">
        <v>2546</v>
      </c>
      <c r="R246" s="10">
        <v>18</v>
      </c>
      <c r="S246" s="10">
        <v>3</v>
      </c>
      <c r="T246" s="1" t="s">
        <v>172</v>
      </c>
      <c r="U246" t="str">
        <f t="shared" si="18"/>
        <v>Invalid</v>
      </c>
      <c r="V246">
        <f t="shared" si="19"/>
        <v>8</v>
      </c>
      <c r="W246" t="str">
        <f t="shared" si="20"/>
        <v>Aug</v>
      </c>
      <c r="X246">
        <f t="shared" si="21"/>
        <v>2014</v>
      </c>
      <c r="Y246">
        <f t="shared" ca="1" si="22"/>
        <v>11</v>
      </c>
      <c r="Z246" t="str" cm="1">
        <f t="array" ref="Z246">_xlfn.IFS(G246&lt;30,"20-29",G246&lt;40,"30-39",G246&lt;50,"40-49",G246&gt;=50,"50+")</f>
        <v>20-29</v>
      </c>
      <c r="AA246" t="str" cm="1">
        <f t="array" ref="AA246">_xlfn.IFS(L246&lt;500000,"Band 1: &lt;5L", L246&lt;1000000,"Band 2: 5-10L", L246&lt;1500000,"Band 3: 10-15L", L246&lt;2000000,"Band 4: 15-20L", L246&gt;=2000000,"Band 5: 20L+")</f>
        <v>Band 4: 15-20L</v>
      </c>
      <c r="AB246" t="str" cm="1">
        <f t="array" ref="AB246">_xlfn.IFS(N246=1,"Poor", N246=2,"Below Average", N246=3,"Average", N246=4,"Good", N246=5,"Excellent")</f>
        <v>Good</v>
      </c>
      <c r="AC246" s="14">
        <f t="shared" si="23"/>
        <v>62567.475000000006</v>
      </c>
      <c r="AD246" t="str" cm="1">
        <f t="array" ref="AD246">_xlfn.IFS(K246&lt;2,"Junior (0-2 yrs)", K246&lt;5,"Mid-Level (2-5 yrs)", K246&lt;10,"Senior (5-10 yrs)", K246&gt;=10,"Expert (10+ yrs)")</f>
        <v>Expert (10+ yrs)</v>
      </c>
    </row>
    <row r="247" spans="1:30" x14ac:dyDescent="0.3">
      <c r="A247" s="1" t="s">
        <v>1885</v>
      </c>
      <c r="B247" s="1" t="s">
        <v>1886</v>
      </c>
      <c r="C247" s="1" t="s">
        <v>58</v>
      </c>
      <c r="D247" s="1" t="s">
        <v>23</v>
      </c>
      <c r="E247" s="1" t="s">
        <v>71</v>
      </c>
      <c r="F247" s="1" t="s">
        <v>93</v>
      </c>
      <c r="G247" s="1">
        <v>27</v>
      </c>
      <c r="H247" s="1" t="s">
        <v>73</v>
      </c>
      <c r="I247" s="1" t="s">
        <v>51</v>
      </c>
      <c r="J247" s="5">
        <v>44832</v>
      </c>
      <c r="K247" s="8">
        <v>11.1</v>
      </c>
      <c r="L247" s="11">
        <v>877310</v>
      </c>
      <c r="M247" s="12">
        <v>3.9900000000000005E-2</v>
      </c>
      <c r="N247" s="7">
        <v>1</v>
      </c>
      <c r="O247" s="1" t="s">
        <v>41</v>
      </c>
      <c r="P247" s="1">
        <v>9571794425</v>
      </c>
      <c r="Q247" s="1" t="s">
        <v>2776</v>
      </c>
      <c r="R247" s="10">
        <v>17</v>
      </c>
      <c r="S247" s="10">
        <v>101</v>
      </c>
      <c r="T247" s="1" t="s">
        <v>360</v>
      </c>
      <c r="U247" t="str">
        <f t="shared" si="18"/>
        <v>Invalid</v>
      </c>
      <c r="V247">
        <f t="shared" si="19"/>
        <v>9</v>
      </c>
      <c r="W247" t="str">
        <f t="shared" si="20"/>
        <v>Sep</v>
      </c>
      <c r="X247">
        <f t="shared" si="21"/>
        <v>2022</v>
      </c>
      <c r="Y247">
        <f t="shared" ca="1" si="22"/>
        <v>3</v>
      </c>
      <c r="Z247" t="str" cm="1">
        <f t="array" ref="Z247">_xlfn.IFS(G247&lt;30,"20-29",G247&lt;40,"30-39",G247&lt;50,"40-49",G247&gt;=50,"50+")</f>
        <v>20-29</v>
      </c>
      <c r="AA247" t="str" cm="1">
        <f t="array" ref="AA247">_xlfn.IFS(L247&lt;500000,"Band 1: &lt;5L", L247&lt;1000000,"Band 2: 5-10L", L247&lt;1500000,"Band 3: 10-15L", L247&lt;2000000,"Band 4: 15-20L", L247&gt;=2000000,"Band 5: 20L+")</f>
        <v>Band 2: 5-10L</v>
      </c>
      <c r="AB247" t="str" cm="1">
        <f t="array" ref="AB247">_xlfn.IFS(N247=1,"Poor", N247=2,"Below Average", N247=3,"Average", N247=4,"Good", N247=5,"Excellent")</f>
        <v>Poor</v>
      </c>
      <c r="AC247" s="14">
        <f t="shared" si="23"/>
        <v>35004.669000000002</v>
      </c>
      <c r="AD247" t="str" cm="1">
        <f t="array" ref="AD247">_xlfn.IFS(K247&lt;2,"Junior (0-2 yrs)", K247&lt;5,"Mid-Level (2-5 yrs)", K247&lt;10,"Senior (5-10 yrs)", K247&gt;=10,"Expert (10+ yrs)")</f>
        <v>Expert (10+ yrs)</v>
      </c>
    </row>
    <row r="248" spans="1:30" x14ac:dyDescent="0.3">
      <c r="A248" s="1" t="s">
        <v>1890</v>
      </c>
      <c r="B248" s="1" t="s">
        <v>1891</v>
      </c>
      <c r="C248" s="1" t="s">
        <v>124</v>
      </c>
      <c r="D248" s="1" t="s">
        <v>231</v>
      </c>
      <c r="E248" s="1" t="s">
        <v>60</v>
      </c>
      <c r="F248" s="1" t="s">
        <v>93</v>
      </c>
      <c r="G248" s="1">
        <v>23</v>
      </c>
      <c r="H248" s="1" t="s">
        <v>73</v>
      </c>
      <c r="I248" s="1" t="s">
        <v>39</v>
      </c>
      <c r="J248" s="5">
        <v>40493</v>
      </c>
      <c r="K248" s="8">
        <v>10.8</v>
      </c>
      <c r="L248" s="11">
        <v>837701</v>
      </c>
      <c r="M248" s="12">
        <v>5.8700000000000002E-2</v>
      </c>
      <c r="N248" s="7">
        <v>3</v>
      </c>
      <c r="O248" s="1" t="s">
        <v>41</v>
      </c>
      <c r="P248" s="1">
        <v>8769224170</v>
      </c>
      <c r="Q248" s="1" t="s">
        <v>2777</v>
      </c>
      <c r="R248" s="10">
        <v>10</v>
      </c>
      <c r="S248" s="10">
        <v>8</v>
      </c>
      <c r="T248" s="1" t="s">
        <v>432</v>
      </c>
      <c r="U248" t="str">
        <f t="shared" si="18"/>
        <v>Invalid</v>
      </c>
      <c r="V248">
        <f t="shared" si="19"/>
        <v>11</v>
      </c>
      <c r="W248" t="str">
        <f t="shared" si="20"/>
        <v>Nov</v>
      </c>
      <c r="X248">
        <f t="shared" si="21"/>
        <v>2010</v>
      </c>
      <c r="Y248">
        <f t="shared" ca="1" si="22"/>
        <v>15</v>
      </c>
      <c r="Z248" t="str" cm="1">
        <f t="array" ref="Z248">_xlfn.IFS(G248&lt;30,"20-29",G248&lt;40,"30-39",G248&lt;50,"40-49",G248&gt;=50,"50+")</f>
        <v>20-29</v>
      </c>
      <c r="AA248" t="str" cm="1">
        <f t="array" ref="AA248">_xlfn.IFS(L248&lt;500000,"Band 1: &lt;5L", L248&lt;1000000,"Band 2: 5-10L", L248&lt;1500000,"Band 3: 10-15L", L248&lt;2000000,"Band 4: 15-20L", L248&gt;=2000000,"Band 5: 20L+")</f>
        <v>Band 2: 5-10L</v>
      </c>
      <c r="AB248" t="str" cm="1">
        <f t="array" ref="AB248">_xlfn.IFS(N248=1,"Poor", N248=2,"Below Average", N248=3,"Average", N248=4,"Good", N248=5,"Excellent")</f>
        <v>Average</v>
      </c>
      <c r="AC248" s="14">
        <f t="shared" si="23"/>
        <v>49173.048699999999</v>
      </c>
      <c r="AD248" t="str" cm="1">
        <f t="array" ref="AD248">_xlfn.IFS(K248&lt;2,"Junior (0-2 yrs)", K248&lt;5,"Mid-Level (2-5 yrs)", K248&lt;10,"Senior (5-10 yrs)", K248&gt;=10,"Expert (10+ yrs)")</f>
        <v>Expert (10+ yrs)</v>
      </c>
    </row>
    <row r="249" spans="1:30" x14ac:dyDescent="0.3">
      <c r="A249" s="1" t="s">
        <v>1898</v>
      </c>
      <c r="B249" s="1" t="s">
        <v>1899</v>
      </c>
      <c r="C249" s="1" t="s">
        <v>69</v>
      </c>
      <c r="D249" s="1" t="s">
        <v>244</v>
      </c>
      <c r="E249" s="1" t="s">
        <v>189</v>
      </c>
      <c r="F249" s="1" t="s">
        <v>93</v>
      </c>
      <c r="G249" s="1">
        <v>43</v>
      </c>
      <c r="H249" s="1" t="s">
        <v>142</v>
      </c>
      <c r="I249" s="1" t="s">
        <v>39</v>
      </c>
      <c r="J249" s="5">
        <v>42161</v>
      </c>
      <c r="K249" s="8">
        <v>8.4</v>
      </c>
      <c r="L249" s="11">
        <v>2135907</v>
      </c>
      <c r="M249" s="12">
        <v>0.16219999999999998</v>
      </c>
      <c r="N249" s="7">
        <v>3</v>
      </c>
      <c r="O249" s="1" t="s">
        <v>41</v>
      </c>
      <c r="P249" s="1">
        <v>8656635401</v>
      </c>
      <c r="Q249" s="1" t="s">
        <v>2778</v>
      </c>
      <c r="R249" s="10">
        <v>14</v>
      </c>
      <c r="S249" s="10">
        <v>92</v>
      </c>
      <c r="T249" s="1" t="s">
        <v>1670</v>
      </c>
      <c r="U249" t="str">
        <f t="shared" si="18"/>
        <v>Invalid</v>
      </c>
      <c r="V249">
        <f t="shared" si="19"/>
        <v>6</v>
      </c>
      <c r="W249" t="str">
        <f t="shared" si="20"/>
        <v>Jun</v>
      </c>
      <c r="X249">
        <f t="shared" si="21"/>
        <v>2015</v>
      </c>
      <c r="Y249">
        <f t="shared" ca="1" si="22"/>
        <v>10</v>
      </c>
      <c r="Z249" t="str" cm="1">
        <f t="array" ref="Z249">_xlfn.IFS(G249&lt;30,"20-29",G249&lt;40,"30-39",G249&lt;50,"40-49",G249&gt;=50,"50+")</f>
        <v>40-49</v>
      </c>
      <c r="AA249" t="str" cm="1">
        <f t="array" ref="AA249">_xlfn.IFS(L249&lt;500000,"Band 1: &lt;5L", L249&lt;1000000,"Band 2: 5-10L", L249&lt;1500000,"Band 3: 10-15L", L249&lt;2000000,"Band 4: 15-20L", L249&gt;=2000000,"Band 5: 20L+")</f>
        <v>Band 5: 20L+</v>
      </c>
      <c r="AB249" t="str" cm="1">
        <f t="array" ref="AB249">_xlfn.IFS(N249=1,"Poor", N249=2,"Below Average", N249=3,"Average", N249=4,"Good", N249=5,"Excellent")</f>
        <v>Average</v>
      </c>
      <c r="AC249" s="14">
        <f t="shared" si="23"/>
        <v>346444.11539999995</v>
      </c>
      <c r="AD249" t="str" cm="1">
        <f t="array" ref="AD249">_xlfn.IFS(K249&lt;2,"Junior (0-2 yrs)", K249&lt;5,"Mid-Level (2-5 yrs)", K249&lt;10,"Senior (5-10 yrs)", K249&gt;=10,"Expert (10+ yrs)")</f>
        <v>Senior (5-10 yrs)</v>
      </c>
    </row>
    <row r="250" spans="1:30" x14ac:dyDescent="0.3">
      <c r="A250" s="1" t="s">
        <v>1907</v>
      </c>
      <c r="B250" s="1" t="s">
        <v>1908</v>
      </c>
      <c r="C250" s="1" t="s">
        <v>69</v>
      </c>
      <c r="D250" s="1" t="s">
        <v>83</v>
      </c>
      <c r="E250" s="1" t="s">
        <v>102</v>
      </c>
      <c r="F250" s="1" t="s">
        <v>93</v>
      </c>
      <c r="G250" s="1">
        <v>46</v>
      </c>
      <c r="H250" s="1" t="s">
        <v>73</v>
      </c>
      <c r="I250" s="1" t="s">
        <v>74</v>
      </c>
      <c r="J250" s="5">
        <v>41503</v>
      </c>
      <c r="K250" s="8">
        <v>7.6</v>
      </c>
      <c r="L250" s="11">
        <v>807369</v>
      </c>
      <c r="M250" s="12">
        <v>0.121</v>
      </c>
      <c r="N250" s="7">
        <v>3</v>
      </c>
      <c r="O250" s="1" t="s">
        <v>41</v>
      </c>
      <c r="P250" s="1">
        <v>7260412355</v>
      </c>
      <c r="Q250" s="1" t="s">
        <v>2779</v>
      </c>
      <c r="R250" s="10">
        <v>29</v>
      </c>
      <c r="S250" s="10">
        <v>2</v>
      </c>
      <c r="T250" s="1" t="s">
        <v>335</v>
      </c>
      <c r="U250" t="str">
        <f t="shared" si="18"/>
        <v>Invalid</v>
      </c>
      <c r="V250">
        <f t="shared" si="19"/>
        <v>8</v>
      </c>
      <c r="W250" t="str">
        <f t="shared" si="20"/>
        <v>Aug</v>
      </c>
      <c r="X250">
        <f t="shared" si="21"/>
        <v>2013</v>
      </c>
      <c r="Y250">
        <f t="shared" ca="1" si="22"/>
        <v>12</v>
      </c>
      <c r="Z250" t="str" cm="1">
        <f t="array" ref="Z250">_xlfn.IFS(G250&lt;30,"20-29",G250&lt;40,"30-39",G250&lt;50,"40-49",G250&gt;=50,"50+")</f>
        <v>40-49</v>
      </c>
      <c r="AA250" t="str" cm="1">
        <f t="array" ref="AA250">_xlfn.IFS(L250&lt;500000,"Band 1: &lt;5L", L250&lt;1000000,"Band 2: 5-10L", L250&lt;1500000,"Band 3: 10-15L", L250&lt;2000000,"Band 4: 15-20L", L250&gt;=2000000,"Band 5: 20L+")</f>
        <v>Band 2: 5-10L</v>
      </c>
      <c r="AB250" t="str" cm="1">
        <f t="array" ref="AB250">_xlfn.IFS(N250=1,"Poor", N250=2,"Below Average", N250=3,"Average", N250=4,"Good", N250=5,"Excellent")</f>
        <v>Average</v>
      </c>
      <c r="AC250" s="14">
        <f t="shared" si="23"/>
        <v>97691.64899999999</v>
      </c>
      <c r="AD250" t="str" cm="1">
        <f t="array" ref="AD250">_xlfn.IFS(K250&lt;2,"Junior (0-2 yrs)", K250&lt;5,"Mid-Level (2-5 yrs)", K250&lt;10,"Senior (5-10 yrs)", K250&gt;=10,"Expert (10+ yrs)")</f>
        <v>Senior (5-10 yrs)</v>
      </c>
    </row>
    <row r="251" spans="1:30" x14ac:dyDescent="0.3">
      <c r="A251" s="1" t="s">
        <v>1929</v>
      </c>
      <c r="B251" s="1" t="s">
        <v>1930</v>
      </c>
      <c r="C251" s="1" t="s">
        <v>132</v>
      </c>
      <c r="D251" s="1" t="s">
        <v>101</v>
      </c>
      <c r="E251" s="1" t="s">
        <v>36</v>
      </c>
      <c r="F251" s="1" t="s">
        <v>93</v>
      </c>
      <c r="G251" s="1">
        <v>40</v>
      </c>
      <c r="H251" s="1" t="s">
        <v>84</v>
      </c>
      <c r="I251" s="1" t="s">
        <v>74</v>
      </c>
      <c r="J251" s="5">
        <v>40411</v>
      </c>
      <c r="K251" s="8">
        <v>24.7</v>
      </c>
      <c r="L251" s="11">
        <v>1993706</v>
      </c>
      <c r="M251" s="12">
        <v>0.129</v>
      </c>
      <c r="N251" s="7">
        <v>3</v>
      </c>
      <c r="O251" s="1" t="s">
        <v>41</v>
      </c>
      <c r="P251" s="1">
        <v>7974641050</v>
      </c>
      <c r="Q251" s="1" t="s">
        <v>2780</v>
      </c>
      <c r="R251" s="10">
        <v>59</v>
      </c>
      <c r="S251" s="10">
        <v>59</v>
      </c>
      <c r="T251" s="1" t="s">
        <v>366</v>
      </c>
      <c r="U251" t="str">
        <f t="shared" si="18"/>
        <v>Valid</v>
      </c>
      <c r="V251">
        <f t="shared" si="19"/>
        <v>8</v>
      </c>
      <c r="W251" t="str">
        <f t="shared" si="20"/>
        <v>Aug</v>
      </c>
      <c r="X251">
        <f t="shared" si="21"/>
        <v>2010</v>
      </c>
      <c r="Y251">
        <f t="shared" ca="1" si="22"/>
        <v>15</v>
      </c>
      <c r="Z251" t="str" cm="1">
        <f t="array" ref="Z251">_xlfn.IFS(G251&lt;30,"20-29",G251&lt;40,"30-39",G251&lt;50,"40-49",G251&gt;=50,"50+")</f>
        <v>40-49</v>
      </c>
      <c r="AA251" t="str" cm="1">
        <f t="array" ref="AA251">_xlfn.IFS(L251&lt;500000,"Band 1: &lt;5L", L251&lt;1000000,"Band 2: 5-10L", L251&lt;1500000,"Band 3: 10-15L", L251&lt;2000000,"Band 4: 15-20L", L251&gt;=2000000,"Band 5: 20L+")</f>
        <v>Band 4: 15-20L</v>
      </c>
      <c r="AB251" t="str" cm="1">
        <f t="array" ref="AB251">_xlfn.IFS(N251=1,"Poor", N251=2,"Below Average", N251=3,"Average", N251=4,"Good", N251=5,"Excellent")</f>
        <v>Average</v>
      </c>
      <c r="AC251" s="14">
        <f t="shared" si="23"/>
        <v>257188.07399999999</v>
      </c>
      <c r="AD251" t="str" cm="1">
        <f t="array" ref="AD251">_xlfn.IFS(K251&lt;2,"Junior (0-2 yrs)", K251&lt;5,"Mid-Level (2-5 yrs)", K251&lt;10,"Senior (5-10 yrs)", K251&gt;=10,"Expert (10+ yrs)")</f>
        <v>Expert (10+ yrs)</v>
      </c>
    </row>
    <row r="252" spans="1:30" x14ac:dyDescent="0.3">
      <c r="A252" s="1" t="s">
        <v>1934</v>
      </c>
      <c r="B252" s="1" t="s">
        <v>1935</v>
      </c>
      <c r="C252" s="1" t="s">
        <v>69</v>
      </c>
      <c r="D252" s="1" t="s">
        <v>83</v>
      </c>
      <c r="E252" s="1" t="s">
        <v>175</v>
      </c>
      <c r="F252" s="1" t="s">
        <v>37</v>
      </c>
      <c r="G252" s="1">
        <v>54</v>
      </c>
      <c r="H252" s="1" t="s">
        <v>73</v>
      </c>
      <c r="I252" s="1" t="s">
        <v>51</v>
      </c>
      <c r="J252" s="5">
        <v>44264</v>
      </c>
      <c r="K252" s="8">
        <v>21.7</v>
      </c>
      <c r="L252" s="11">
        <v>935029</v>
      </c>
      <c r="M252" s="12">
        <v>4.5100000000000001E-2</v>
      </c>
      <c r="N252" s="7">
        <v>5</v>
      </c>
      <c r="O252" s="1" t="s">
        <v>41</v>
      </c>
      <c r="P252" s="1">
        <v>9770829463</v>
      </c>
      <c r="Q252" s="1" t="s">
        <v>2781</v>
      </c>
      <c r="R252" s="10">
        <v>64</v>
      </c>
      <c r="S252" s="10">
        <v>67</v>
      </c>
      <c r="T252" s="1" t="s">
        <v>1280</v>
      </c>
      <c r="U252" t="str">
        <f t="shared" si="18"/>
        <v>Valid</v>
      </c>
      <c r="V252">
        <f t="shared" si="19"/>
        <v>3</v>
      </c>
      <c r="W252" t="str">
        <f t="shared" si="20"/>
        <v>Mar</v>
      </c>
      <c r="X252">
        <f t="shared" si="21"/>
        <v>2021</v>
      </c>
      <c r="Y252">
        <f t="shared" ca="1" si="22"/>
        <v>5</v>
      </c>
      <c r="Z252" t="str" cm="1">
        <f t="array" ref="Z252">_xlfn.IFS(G252&lt;30,"20-29",G252&lt;40,"30-39",G252&lt;50,"40-49",G252&gt;=50,"50+")</f>
        <v>50+</v>
      </c>
      <c r="AA252" t="str" cm="1">
        <f t="array" ref="AA252">_xlfn.IFS(L252&lt;500000,"Band 1: &lt;5L", L252&lt;1000000,"Band 2: 5-10L", L252&lt;1500000,"Band 3: 10-15L", L252&lt;2000000,"Band 4: 15-20L", L252&gt;=2000000,"Band 5: 20L+")</f>
        <v>Band 2: 5-10L</v>
      </c>
      <c r="AB252" t="str" cm="1">
        <f t="array" ref="AB252">_xlfn.IFS(N252=1,"Poor", N252=2,"Below Average", N252=3,"Average", N252=4,"Good", N252=5,"Excellent")</f>
        <v>Excellent</v>
      </c>
      <c r="AC252" s="14">
        <f t="shared" si="23"/>
        <v>42169.8079</v>
      </c>
      <c r="AD252" t="str" cm="1">
        <f t="array" ref="AD252">_xlfn.IFS(K252&lt;2,"Junior (0-2 yrs)", K252&lt;5,"Mid-Level (2-5 yrs)", K252&lt;10,"Senior (5-10 yrs)", K252&gt;=10,"Expert (10+ yrs)")</f>
        <v>Expert (10+ yrs)</v>
      </c>
    </row>
    <row r="253" spans="1:30" x14ac:dyDescent="0.3">
      <c r="A253" s="1" t="s">
        <v>1943</v>
      </c>
      <c r="B253" s="1" t="s">
        <v>1944</v>
      </c>
      <c r="C253" s="1" t="s">
        <v>69</v>
      </c>
      <c r="D253" s="1" t="s">
        <v>83</v>
      </c>
      <c r="E253" s="1" t="s">
        <v>60</v>
      </c>
      <c r="F253" s="1" t="s">
        <v>37</v>
      </c>
      <c r="G253" s="1">
        <v>24</v>
      </c>
      <c r="H253" s="1" t="s">
        <v>84</v>
      </c>
      <c r="I253" s="1" t="s">
        <v>39</v>
      </c>
      <c r="J253" s="5">
        <v>42775</v>
      </c>
      <c r="K253" s="8">
        <v>27</v>
      </c>
      <c r="L253" s="11">
        <v>1106347</v>
      </c>
      <c r="M253" s="12">
        <v>0.21309999999999998</v>
      </c>
      <c r="N253" s="7">
        <v>5</v>
      </c>
      <c r="O253" s="1" t="s">
        <v>41</v>
      </c>
      <c r="P253" s="1">
        <v>9631685228</v>
      </c>
      <c r="Q253" s="1" t="s">
        <v>2547</v>
      </c>
      <c r="R253" s="10">
        <v>65</v>
      </c>
      <c r="S253" s="10">
        <v>77</v>
      </c>
      <c r="T253" s="1" t="s">
        <v>893</v>
      </c>
      <c r="U253" t="str">
        <f t="shared" si="18"/>
        <v>Invalid</v>
      </c>
      <c r="V253">
        <f t="shared" si="19"/>
        <v>2</v>
      </c>
      <c r="W253" t="str">
        <f t="shared" si="20"/>
        <v>Feb</v>
      </c>
      <c r="X253">
        <f t="shared" si="21"/>
        <v>2017</v>
      </c>
      <c r="Y253">
        <f t="shared" ca="1" si="22"/>
        <v>9</v>
      </c>
      <c r="Z253" t="str" cm="1">
        <f t="array" ref="Z253">_xlfn.IFS(G253&lt;30,"20-29",G253&lt;40,"30-39",G253&lt;50,"40-49",G253&gt;=50,"50+")</f>
        <v>20-29</v>
      </c>
      <c r="AA253" t="str" cm="1">
        <f t="array" ref="AA253">_xlfn.IFS(L253&lt;500000,"Band 1: &lt;5L", L253&lt;1000000,"Band 2: 5-10L", L253&lt;1500000,"Band 3: 10-15L", L253&lt;2000000,"Band 4: 15-20L", L253&gt;=2000000,"Band 5: 20L+")</f>
        <v>Band 3: 10-15L</v>
      </c>
      <c r="AB253" t="str" cm="1">
        <f t="array" ref="AB253">_xlfn.IFS(N253=1,"Poor", N253=2,"Below Average", N253=3,"Average", N253=4,"Good", N253=5,"Excellent")</f>
        <v>Excellent</v>
      </c>
      <c r="AC253" s="14">
        <f t="shared" si="23"/>
        <v>235762.54569999999</v>
      </c>
      <c r="AD253" t="str" cm="1">
        <f t="array" ref="AD253">_xlfn.IFS(K253&lt;2,"Junior (0-2 yrs)", K253&lt;5,"Mid-Level (2-5 yrs)", K253&lt;10,"Senior (5-10 yrs)", K253&gt;=10,"Expert (10+ yrs)")</f>
        <v>Expert (10+ yrs)</v>
      </c>
    </row>
    <row r="254" spans="1:30" x14ac:dyDescent="0.3">
      <c r="A254" s="1" t="s">
        <v>1953</v>
      </c>
      <c r="B254" s="1" t="s">
        <v>1954</v>
      </c>
      <c r="C254" s="1" t="s">
        <v>58</v>
      </c>
      <c r="D254" s="1" t="s">
        <v>244</v>
      </c>
      <c r="E254" s="1" t="s">
        <v>168</v>
      </c>
      <c r="F254" s="1" t="s">
        <v>37</v>
      </c>
      <c r="G254" s="1">
        <v>28</v>
      </c>
      <c r="H254" s="1" t="s">
        <v>103</v>
      </c>
      <c r="I254" s="1" t="s">
        <v>198</v>
      </c>
      <c r="J254" s="5">
        <v>41230</v>
      </c>
      <c r="K254" s="8">
        <v>25.3</v>
      </c>
      <c r="L254" s="11">
        <v>583302</v>
      </c>
      <c r="M254" s="12">
        <v>1.5100000000000001E-2</v>
      </c>
      <c r="N254" s="7">
        <v>3</v>
      </c>
      <c r="O254" s="1" t="s">
        <v>41</v>
      </c>
      <c r="P254" s="1">
        <v>8909646911</v>
      </c>
      <c r="Q254" s="1" t="s">
        <v>2782</v>
      </c>
      <c r="R254" s="10">
        <v>55</v>
      </c>
      <c r="S254" s="10">
        <v>83</v>
      </c>
      <c r="T254" s="1" t="s">
        <v>468</v>
      </c>
      <c r="U254" t="str">
        <f t="shared" si="18"/>
        <v>Valid</v>
      </c>
      <c r="V254">
        <f t="shared" si="19"/>
        <v>11</v>
      </c>
      <c r="W254" t="str">
        <f t="shared" si="20"/>
        <v>Nov</v>
      </c>
      <c r="X254">
        <f t="shared" si="21"/>
        <v>2012</v>
      </c>
      <c r="Y254">
        <f t="shared" ca="1" si="22"/>
        <v>13</v>
      </c>
      <c r="Z254" t="str" cm="1">
        <f t="array" ref="Z254">_xlfn.IFS(G254&lt;30,"20-29",G254&lt;40,"30-39",G254&lt;50,"40-49",G254&gt;=50,"50+")</f>
        <v>20-29</v>
      </c>
      <c r="AA254" t="str" cm="1">
        <f t="array" ref="AA254">_xlfn.IFS(L254&lt;500000,"Band 1: &lt;5L", L254&lt;1000000,"Band 2: 5-10L", L254&lt;1500000,"Band 3: 10-15L", L254&lt;2000000,"Band 4: 15-20L", L254&gt;=2000000,"Band 5: 20L+")</f>
        <v>Band 2: 5-10L</v>
      </c>
      <c r="AB254" t="str" cm="1">
        <f t="array" ref="AB254">_xlfn.IFS(N254=1,"Poor", N254=2,"Below Average", N254=3,"Average", N254=4,"Good", N254=5,"Excellent")</f>
        <v>Average</v>
      </c>
      <c r="AC254" s="14">
        <f t="shared" si="23"/>
        <v>8807.860200000001</v>
      </c>
      <c r="AD254" t="str" cm="1">
        <f t="array" ref="AD254">_xlfn.IFS(K254&lt;2,"Junior (0-2 yrs)", K254&lt;5,"Mid-Level (2-5 yrs)", K254&lt;10,"Senior (5-10 yrs)", K254&gt;=10,"Expert (10+ yrs)")</f>
        <v>Expert (10+ yrs)</v>
      </c>
    </row>
    <row r="255" spans="1:30" x14ac:dyDescent="0.3">
      <c r="A255" s="1" t="s">
        <v>1957</v>
      </c>
      <c r="B255" s="1" t="s">
        <v>1958</v>
      </c>
      <c r="C255" s="1" t="s">
        <v>124</v>
      </c>
      <c r="D255" s="1" t="s">
        <v>101</v>
      </c>
      <c r="E255" s="1" t="s">
        <v>155</v>
      </c>
      <c r="F255" s="1" t="s">
        <v>37</v>
      </c>
      <c r="G255" s="1">
        <v>32</v>
      </c>
      <c r="H255" s="1" t="s">
        <v>84</v>
      </c>
      <c r="I255" s="1" t="s">
        <v>39</v>
      </c>
      <c r="J255" s="5">
        <v>41634</v>
      </c>
      <c r="K255" s="8">
        <v>20.5</v>
      </c>
      <c r="L255" s="11">
        <v>745520</v>
      </c>
      <c r="M255" s="12">
        <v>2.86E-2</v>
      </c>
      <c r="N255" s="7">
        <v>3</v>
      </c>
      <c r="O255" s="1" t="s">
        <v>76</v>
      </c>
      <c r="P255" s="1">
        <v>8804127440</v>
      </c>
      <c r="Q255" s="1" t="s">
        <v>2783</v>
      </c>
      <c r="R255" s="10">
        <v>9</v>
      </c>
      <c r="S255" s="10">
        <v>47</v>
      </c>
      <c r="T255" s="1" t="s">
        <v>309</v>
      </c>
      <c r="U255" t="str">
        <f t="shared" si="18"/>
        <v>Valid</v>
      </c>
      <c r="V255">
        <f t="shared" si="19"/>
        <v>12</v>
      </c>
      <c r="W255" t="str">
        <f t="shared" si="20"/>
        <v>Dec</v>
      </c>
      <c r="X255">
        <f t="shared" si="21"/>
        <v>2013</v>
      </c>
      <c r="Y255">
        <f t="shared" ca="1" si="22"/>
        <v>12</v>
      </c>
      <c r="Z255" t="str" cm="1">
        <f t="array" ref="Z255">_xlfn.IFS(G255&lt;30,"20-29",G255&lt;40,"30-39",G255&lt;50,"40-49",G255&gt;=50,"50+")</f>
        <v>30-39</v>
      </c>
      <c r="AA255" t="str" cm="1">
        <f t="array" ref="AA255">_xlfn.IFS(L255&lt;500000,"Band 1: &lt;5L", L255&lt;1000000,"Band 2: 5-10L", L255&lt;1500000,"Band 3: 10-15L", L255&lt;2000000,"Band 4: 15-20L", L255&gt;=2000000,"Band 5: 20L+")</f>
        <v>Band 2: 5-10L</v>
      </c>
      <c r="AB255" t="str" cm="1">
        <f t="array" ref="AB255">_xlfn.IFS(N255=1,"Poor", N255=2,"Below Average", N255=3,"Average", N255=4,"Good", N255=5,"Excellent")</f>
        <v>Average</v>
      </c>
      <c r="AC255" s="14">
        <f t="shared" si="23"/>
        <v>21321.871999999999</v>
      </c>
      <c r="AD255" t="str" cm="1">
        <f t="array" ref="AD255">_xlfn.IFS(K255&lt;2,"Junior (0-2 yrs)", K255&lt;5,"Mid-Level (2-5 yrs)", K255&lt;10,"Senior (5-10 yrs)", K255&gt;=10,"Expert (10+ yrs)")</f>
        <v>Expert (10+ yrs)</v>
      </c>
    </row>
    <row r="256" spans="1:30" x14ac:dyDescent="0.3">
      <c r="A256" s="1" t="s">
        <v>1967</v>
      </c>
      <c r="B256" s="1" t="s">
        <v>1968</v>
      </c>
      <c r="C256" s="1" t="s">
        <v>110</v>
      </c>
      <c r="D256" s="1" t="s">
        <v>244</v>
      </c>
      <c r="E256" s="1" t="s">
        <v>168</v>
      </c>
      <c r="F256" s="1" t="s">
        <v>37</v>
      </c>
      <c r="G256" s="1">
        <v>34</v>
      </c>
      <c r="H256" s="1" t="s">
        <v>62</v>
      </c>
      <c r="I256" s="1" t="s">
        <v>39</v>
      </c>
      <c r="J256" s="5">
        <v>43316</v>
      </c>
      <c r="K256" s="8">
        <v>15.3</v>
      </c>
      <c r="L256" s="11">
        <v>1272251</v>
      </c>
      <c r="M256" s="12">
        <v>4.2900000000000001E-2</v>
      </c>
      <c r="N256" s="7">
        <v>5</v>
      </c>
      <c r="O256" s="1" t="s">
        <v>41</v>
      </c>
      <c r="P256" s="1">
        <v>8390561934</v>
      </c>
      <c r="Q256" s="1" t="s">
        <v>2784</v>
      </c>
      <c r="R256" s="10">
        <v>20</v>
      </c>
      <c r="S256" s="10">
        <v>66</v>
      </c>
      <c r="T256" s="1" t="s">
        <v>66</v>
      </c>
      <c r="U256" t="str">
        <f t="shared" si="18"/>
        <v>Invalid</v>
      </c>
      <c r="V256">
        <f t="shared" si="19"/>
        <v>8</v>
      </c>
      <c r="W256" t="str">
        <f t="shared" si="20"/>
        <v>Aug</v>
      </c>
      <c r="X256">
        <f t="shared" si="21"/>
        <v>2018</v>
      </c>
      <c r="Y256">
        <f t="shared" ca="1" si="22"/>
        <v>7</v>
      </c>
      <c r="Z256" t="str" cm="1">
        <f t="array" ref="Z256">_xlfn.IFS(G256&lt;30,"20-29",G256&lt;40,"30-39",G256&lt;50,"40-49",G256&gt;=50,"50+")</f>
        <v>30-39</v>
      </c>
      <c r="AA256" t="str" cm="1">
        <f t="array" ref="AA256">_xlfn.IFS(L256&lt;500000,"Band 1: &lt;5L", L256&lt;1000000,"Band 2: 5-10L", L256&lt;1500000,"Band 3: 10-15L", L256&lt;2000000,"Band 4: 15-20L", L256&gt;=2000000,"Band 5: 20L+")</f>
        <v>Band 3: 10-15L</v>
      </c>
      <c r="AB256" t="str" cm="1">
        <f t="array" ref="AB256">_xlfn.IFS(N256=1,"Poor", N256=2,"Below Average", N256=3,"Average", N256=4,"Good", N256=5,"Excellent")</f>
        <v>Excellent</v>
      </c>
      <c r="AC256" s="14">
        <f t="shared" si="23"/>
        <v>54579.567900000002</v>
      </c>
      <c r="AD256" t="str" cm="1">
        <f t="array" ref="AD256">_xlfn.IFS(K256&lt;2,"Junior (0-2 yrs)", K256&lt;5,"Mid-Level (2-5 yrs)", K256&lt;10,"Senior (5-10 yrs)", K256&gt;=10,"Expert (10+ yrs)")</f>
        <v>Expert (10+ yrs)</v>
      </c>
    </row>
    <row r="257" spans="1:30" x14ac:dyDescent="0.3">
      <c r="A257" s="1" t="s">
        <v>1975</v>
      </c>
      <c r="B257" s="1" t="s">
        <v>1976</v>
      </c>
      <c r="C257" s="1" t="s">
        <v>58</v>
      </c>
      <c r="D257" s="1" t="s">
        <v>83</v>
      </c>
      <c r="E257" s="1" t="s">
        <v>290</v>
      </c>
      <c r="F257" s="1" t="s">
        <v>37</v>
      </c>
      <c r="G257" s="1">
        <v>37</v>
      </c>
      <c r="H257" s="1" t="s">
        <v>73</v>
      </c>
      <c r="I257" s="1" t="s">
        <v>39</v>
      </c>
      <c r="J257" s="5">
        <v>45464</v>
      </c>
      <c r="K257" s="8">
        <v>10.9</v>
      </c>
      <c r="L257" s="11">
        <v>2019353</v>
      </c>
      <c r="M257" s="12">
        <v>6.1200000000000004E-2</v>
      </c>
      <c r="N257" s="7">
        <v>4</v>
      </c>
      <c r="O257" s="1" t="s">
        <v>76</v>
      </c>
      <c r="P257" s="1">
        <v>7986825871</v>
      </c>
      <c r="Q257" s="1" t="s">
        <v>2785</v>
      </c>
      <c r="R257" s="10">
        <v>74</v>
      </c>
      <c r="S257" s="10">
        <v>77</v>
      </c>
      <c r="T257" s="1" t="s">
        <v>1280</v>
      </c>
      <c r="U257" t="str">
        <f t="shared" si="18"/>
        <v>Invalid</v>
      </c>
      <c r="V257">
        <f t="shared" si="19"/>
        <v>6</v>
      </c>
      <c r="W257" t="str">
        <f t="shared" si="20"/>
        <v>Jun</v>
      </c>
      <c r="X257">
        <f t="shared" si="21"/>
        <v>2024</v>
      </c>
      <c r="Y257">
        <f t="shared" ca="1" si="22"/>
        <v>1</v>
      </c>
      <c r="Z257" t="str" cm="1">
        <f t="array" ref="Z257">_xlfn.IFS(G257&lt;30,"20-29",G257&lt;40,"30-39",G257&lt;50,"40-49",G257&gt;=50,"50+")</f>
        <v>30-39</v>
      </c>
      <c r="AA257" t="str" cm="1">
        <f t="array" ref="AA257">_xlfn.IFS(L257&lt;500000,"Band 1: &lt;5L", L257&lt;1000000,"Band 2: 5-10L", L257&lt;1500000,"Band 3: 10-15L", L257&lt;2000000,"Band 4: 15-20L", L257&gt;=2000000,"Band 5: 20L+")</f>
        <v>Band 5: 20L+</v>
      </c>
      <c r="AB257" t="str" cm="1">
        <f t="array" ref="AB257">_xlfn.IFS(N257=1,"Poor", N257=2,"Below Average", N257=3,"Average", N257=4,"Good", N257=5,"Excellent")</f>
        <v>Good</v>
      </c>
      <c r="AC257" s="14">
        <f t="shared" si="23"/>
        <v>123584.40360000001</v>
      </c>
      <c r="AD257" t="str" cm="1">
        <f t="array" ref="AD257">_xlfn.IFS(K257&lt;2,"Junior (0-2 yrs)", K257&lt;5,"Mid-Level (2-5 yrs)", K257&lt;10,"Senior (5-10 yrs)", K257&gt;=10,"Expert (10+ yrs)")</f>
        <v>Expert (10+ yrs)</v>
      </c>
    </row>
    <row r="258" spans="1:30" x14ac:dyDescent="0.3">
      <c r="A258" s="1" t="s">
        <v>1980</v>
      </c>
      <c r="B258" s="1" t="s">
        <v>1981</v>
      </c>
      <c r="C258" s="1" t="s">
        <v>46</v>
      </c>
      <c r="D258" s="1" t="s">
        <v>111</v>
      </c>
      <c r="E258" s="1" t="s">
        <v>155</v>
      </c>
      <c r="F258" s="1" t="s">
        <v>37</v>
      </c>
      <c r="G258" s="1">
        <v>50</v>
      </c>
      <c r="H258" s="1" t="s">
        <v>62</v>
      </c>
      <c r="I258" s="1" t="s">
        <v>39</v>
      </c>
      <c r="J258" s="5">
        <v>43517</v>
      </c>
      <c r="K258" s="8">
        <v>7.3</v>
      </c>
      <c r="L258" s="11">
        <v>404404</v>
      </c>
      <c r="M258" s="12">
        <v>0.1225</v>
      </c>
      <c r="N258" s="7">
        <v>3</v>
      </c>
      <c r="O258" s="1" t="s">
        <v>41</v>
      </c>
      <c r="P258" s="1">
        <v>7409692785</v>
      </c>
      <c r="Q258" s="1" t="s">
        <v>2786</v>
      </c>
      <c r="R258" s="10">
        <v>18</v>
      </c>
      <c r="S258" s="10">
        <v>107</v>
      </c>
      <c r="T258" s="1" t="s">
        <v>66</v>
      </c>
      <c r="U258" t="str">
        <f t="shared" ref="U258:U323" si="24">IF(AND(ISNUMBER(FIND("@",Q258)),ISNUMBER(FIND(".",Q258))),
"Valid","Invalid")</f>
        <v>Valid</v>
      </c>
      <c r="V258">
        <f t="shared" si="19"/>
        <v>2</v>
      </c>
      <c r="W258" t="str">
        <f t="shared" si="20"/>
        <v>Feb</v>
      </c>
      <c r="X258">
        <f t="shared" si="21"/>
        <v>2019</v>
      </c>
      <c r="Y258">
        <f t="shared" ca="1" si="22"/>
        <v>7</v>
      </c>
      <c r="Z258" t="str" cm="1">
        <f t="array" ref="Z258">_xlfn.IFS(G258&lt;30,"20-29",G258&lt;40,"30-39",G258&lt;50,"40-49",G258&gt;=50,"50+")</f>
        <v>50+</v>
      </c>
      <c r="AA258" t="str" cm="1">
        <f t="array" ref="AA258">_xlfn.IFS(L258&lt;500000,"Band 1: &lt;5L", L258&lt;1000000,"Band 2: 5-10L", L258&lt;1500000,"Band 3: 10-15L", L258&lt;2000000,"Band 4: 15-20L", L258&gt;=2000000,"Band 5: 20L+")</f>
        <v>Band 1: &lt;5L</v>
      </c>
      <c r="AB258" t="str" cm="1">
        <f t="array" ref="AB258">_xlfn.IFS(N258=1,"Poor", N258=2,"Below Average", N258=3,"Average", N258=4,"Good", N258=5,"Excellent")</f>
        <v>Average</v>
      </c>
      <c r="AC258" s="14">
        <f t="shared" si="23"/>
        <v>49539.49</v>
      </c>
      <c r="AD258" t="str" cm="1">
        <f t="array" ref="AD258">_xlfn.IFS(K258&lt;2,"Junior (0-2 yrs)", K258&lt;5,"Mid-Level (2-5 yrs)", K258&lt;10,"Senior (5-10 yrs)", K258&gt;=10,"Expert (10+ yrs)")</f>
        <v>Senior (5-10 yrs)</v>
      </c>
    </row>
    <row r="259" spans="1:30" x14ac:dyDescent="0.3">
      <c r="A259" s="1" t="s">
        <v>1985</v>
      </c>
      <c r="B259" s="1" t="s">
        <v>1986</v>
      </c>
      <c r="C259" s="1" t="s">
        <v>69</v>
      </c>
      <c r="D259" s="1" t="s">
        <v>83</v>
      </c>
      <c r="E259" s="1" t="s">
        <v>168</v>
      </c>
      <c r="F259" s="1" t="s">
        <v>37</v>
      </c>
      <c r="G259" s="1">
        <v>55</v>
      </c>
      <c r="H259" s="1" t="s">
        <v>204</v>
      </c>
      <c r="I259" s="1" t="s">
        <v>27</v>
      </c>
      <c r="J259" s="5">
        <v>43286</v>
      </c>
      <c r="K259" s="8">
        <v>5.2</v>
      </c>
      <c r="L259" s="11">
        <v>535744</v>
      </c>
      <c r="M259" s="12">
        <v>6.2400000000000004E-2</v>
      </c>
      <c r="N259" s="7">
        <v>4</v>
      </c>
      <c r="O259" s="1" t="s">
        <v>76</v>
      </c>
      <c r="P259" s="1">
        <v>7746196273</v>
      </c>
      <c r="Q259" s="1" t="s">
        <v>2787</v>
      </c>
      <c r="R259" s="10">
        <v>46</v>
      </c>
      <c r="S259" s="10">
        <v>35</v>
      </c>
      <c r="T259" s="1" t="s">
        <v>403</v>
      </c>
      <c r="U259" t="str">
        <f t="shared" si="24"/>
        <v>Valid</v>
      </c>
      <c r="V259">
        <f t="shared" ref="V259:V322" si="25">MONTH(J259)</f>
        <v>7</v>
      </c>
      <c r="W259" t="str">
        <f t="shared" ref="W259:W322" si="26">TEXT(J259, "MMM")</f>
        <v>Jul</v>
      </c>
      <c r="X259">
        <f t="shared" ref="X259:X322" si="27">YEAR(J259)</f>
        <v>2018</v>
      </c>
      <c r="Y259">
        <f t="shared" ref="Y259:Y322" ca="1" si="28">DATEDIF(J259,TODAY(), "Y")</f>
        <v>7</v>
      </c>
      <c r="Z259" t="str" cm="1">
        <f t="array" ref="Z259">_xlfn.IFS(G259&lt;30,"20-29",G259&lt;40,"30-39",G259&lt;50,"40-49",G259&gt;=50,"50+")</f>
        <v>50+</v>
      </c>
      <c r="AA259" t="str" cm="1">
        <f t="array" ref="AA259">_xlfn.IFS(L259&lt;500000,"Band 1: &lt;5L", L259&lt;1000000,"Band 2: 5-10L", L259&lt;1500000,"Band 3: 10-15L", L259&lt;2000000,"Band 4: 15-20L", L259&gt;=2000000,"Band 5: 20L+")</f>
        <v>Band 2: 5-10L</v>
      </c>
      <c r="AB259" t="str" cm="1">
        <f t="array" ref="AB259">_xlfn.IFS(N259=1,"Poor", N259=2,"Below Average", N259=3,"Average", N259=4,"Good", N259=5,"Excellent")</f>
        <v>Good</v>
      </c>
      <c r="AC259" s="14">
        <f t="shared" ref="AC259:AC322" si="29">L259*M259</f>
        <v>33430.425600000002</v>
      </c>
      <c r="AD259" t="str" cm="1">
        <f t="array" ref="AD259">_xlfn.IFS(K259&lt;2,"Junior (0-2 yrs)", K259&lt;5,"Mid-Level (2-5 yrs)", K259&lt;10,"Senior (5-10 yrs)", K259&gt;=10,"Expert (10+ yrs)")</f>
        <v>Senior (5-10 yrs)</v>
      </c>
    </row>
    <row r="260" spans="1:30" x14ac:dyDescent="0.3">
      <c r="A260" s="1" t="s">
        <v>1989</v>
      </c>
      <c r="B260" s="1" t="s">
        <v>1990</v>
      </c>
      <c r="C260" s="1" t="s">
        <v>124</v>
      </c>
      <c r="D260" s="1" t="s">
        <v>101</v>
      </c>
      <c r="E260" s="1" t="s">
        <v>102</v>
      </c>
      <c r="F260" s="1" t="s">
        <v>93</v>
      </c>
      <c r="G260" s="1">
        <v>56</v>
      </c>
      <c r="H260" s="1" t="s">
        <v>62</v>
      </c>
      <c r="I260" s="1" t="s">
        <v>51</v>
      </c>
      <c r="J260" s="5">
        <v>44112</v>
      </c>
      <c r="K260" s="8">
        <v>3.5</v>
      </c>
      <c r="L260" s="11">
        <v>999414</v>
      </c>
      <c r="M260" s="12">
        <v>7.4099999999999999E-2</v>
      </c>
      <c r="N260" s="7">
        <v>3</v>
      </c>
      <c r="O260" s="1" t="s">
        <v>41</v>
      </c>
      <c r="P260" s="1">
        <v>8821133740</v>
      </c>
      <c r="Q260" s="1" t="s">
        <v>2788</v>
      </c>
      <c r="R260" s="10">
        <v>53</v>
      </c>
      <c r="S260" s="10">
        <v>59</v>
      </c>
      <c r="T260" s="1" t="s">
        <v>1994</v>
      </c>
      <c r="U260" t="str">
        <f t="shared" si="24"/>
        <v>Valid</v>
      </c>
      <c r="V260">
        <f t="shared" si="25"/>
        <v>10</v>
      </c>
      <c r="W260" t="str">
        <f t="shared" si="26"/>
        <v>Oct</v>
      </c>
      <c r="X260">
        <f t="shared" si="27"/>
        <v>2020</v>
      </c>
      <c r="Y260">
        <f t="shared" ca="1" si="28"/>
        <v>5</v>
      </c>
      <c r="Z260" t="str" cm="1">
        <f t="array" ref="Z260">_xlfn.IFS(G260&lt;30,"20-29",G260&lt;40,"30-39",G260&lt;50,"40-49",G260&gt;=50,"50+")</f>
        <v>50+</v>
      </c>
      <c r="AA260" t="str" cm="1">
        <f t="array" ref="AA260">_xlfn.IFS(L260&lt;500000,"Band 1: &lt;5L", L260&lt;1000000,"Band 2: 5-10L", L260&lt;1500000,"Band 3: 10-15L", L260&lt;2000000,"Band 4: 15-20L", L260&gt;=2000000,"Band 5: 20L+")</f>
        <v>Band 2: 5-10L</v>
      </c>
      <c r="AB260" t="str" cm="1">
        <f t="array" ref="AB260">_xlfn.IFS(N260=1,"Poor", N260=2,"Below Average", N260=3,"Average", N260=4,"Good", N260=5,"Excellent")</f>
        <v>Average</v>
      </c>
      <c r="AC260" s="14">
        <f t="shared" si="29"/>
        <v>74056.577399999995</v>
      </c>
      <c r="AD260" t="str" cm="1">
        <f t="array" ref="AD260">_xlfn.IFS(K260&lt;2,"Junior (0-2 yrs)", K260&lt;5,"Mid-Level (2-5 yrs)", K260&lt;10,"Senior (5-10 yrs)", K260&gt;=10,"Expert (10+ yrs)")</f>
        <v>Mid-Level (2-5 yrs)</v>
      </c>
    </row>
    <row r="261" spans="1:30" x14ac:dyDescent="0.3">
      <c r="A261" s="1" t="s">
        <v>1998</v>
      </c>
      <c r="B261" s="1" t="s">
        <v>1223</v>
      </c>
      <c r="C261" s="1" t="s">
        <v>46</v>
      </c>
      <c r="D261" s="1" t="s">
        <v>83</v>
      </c>
      <c r="E261" s="1" t="s">
        <v>71</v>
      </c>
      <c r="F261" s="1" t="s">
        <v>93</v>
      </c>
      <c r="G261" s="1">
        <v>27</v>
      </c>
      <c r="H261" s="1" t="s">
        <v>142</v>
      </c>
      <c r="I261" s="1" t="s">
        <v>39</v>
      </c>
      <c r="J261" s="5">
        <v>42201</v>
      </c>
      <c r="K261" s="8">
        <v>22.7</v>
      </c>
      <c r="L261" s="11">
        <v>2097403</v>
      </c>
      <c r="M261" s="12">
        <v>2.5000000000000001E-3</v>
      </c>
      <c r="N261" s="7">
        <v>3</v>
      </c>
      <c r="O261" s="1" t="s">
        <v>76</v>
      </c>
      <c r="P261" s="1">
        <v>8523392144</v>
      </c>
      <c r="Q261" s="1" t="s">
        <v>2789</v>
      </c>
      <c r="R261" s="10">
        <v>76</v>
      </c>
      <c r="S261" s="10">
        <v>92</v>
      </c>
      <c r="T261" s="1" t="s">
        <v>933</v>
      </c>
      <c r="U261" t="str">
        <f t="shared" si="24"/>
        <v>Invalid</v>
      </c>
      <c r="V261">
        <f t="shared" si="25"/>
        <v>7</v>
      </c>
      <c r="W261" t="str">
        <f t="shared" si="26"/>
        <v>Jul</v>
      </c>
      <c r="X261">
        <f t="shared" si="27"/>
        <v>2015</v>
      </c>
      <c r="Y261">
        <f t="shared" ca="1" si="28"/>
        <v>10</v>
      </c>
      <c r="Z261" t="str" cm="1">
        <f t="array" ref="Z261">_xlfn.IFS(G261&lt;30,"20-29",G261&lt;40,"30-39",G261&lt;50,"40-49",G261&gt;=50,"50+")</f>
        <v>20-29</v>
      </c>
      <c r="AA261" t="str" cm="1">
        <f t="array" ref="AA261">_xlfn.IFS(L261&lt;500000,"Band 1: &lt;5L", L261&lt;1000000,"Band 2: 5-10L", L261&lt;1500000,"Band 3: 10-15L", L261&lt;2000000,"Band 4: 15-20L", L261&gt;=2000000,"Band 5: 20L+")</f>
        <v>Band 5: 20L+</v>
      </c>
      <c r="AB261" t="str" cm="1">
        <f t="array" ref="AB261">_xlfn.IFS(N261=1,"Poor", N261=2,"Below Average", N261=3,"Average", N261=4,"Good", N261=5,"Excellent")</f>
        <v>Average</v>
      </c>
      <c r="AC261" s="14">
        <f t="shared" si="29"/>
        <v>5243.5074999999997</v>
      </c>
      <c r="AD261" t="str" cm="1">
        <f t="array" ref="AD261">_xlfn.IFS(K261&lt;2,"Junior (0-2 yrs)", K261&lt;5,"Mid-Level (2-5 yrs)", K261&lt;10,"Senior (5-10 yrs)", K261&gt;=10,"Expert (10+ yrs)")</f>
        <v>Expert (10+ yrs)</v>
      </c>
    </row>
    <row r="262" spans="1:30" x14ac:dyDescent="0.3">
      <c r="A262" s="1" t="s">
        <v>2015</v>
      </c>
      <c r="B262" s="1" t="s">
        <v>2521</v>
      </c>
      <c r="C262" s="1" t="s">
        <v>58</v>
      </c>
      <c r="D262" s="1" t="s">
        <v>244</v>
      </c>
      <c r="E262" s="1" t="s">
        <v>36</v>
      </c>
      <c r="F262" s="1" t="s">
        <v>37</v>
      </c>
      <c r="G262" s="1">
        <v>58</v>
      </c>
      <c r="H262" s="1" t="s">
        <v>26</v>
      </c>
      <c r="I262" s="1" t="s">
        <v>27</v>
      </c>
      <c r="J262" s="5">
        <v>43194</v>
      </c>
      <c r="K262" s="8">
        <v>11.9</v>
      </c>
      <c r="L262" s="11">
        <v>1275799</v>
      </c>
      <c r="M262" s="12">
        <v>0.10880000000000001</v>
      </c>
      <c r="N262" s="7">
        <v>5</v>
      </c>
      <c r="O262" s="1" t="s">
        <v>41</v>
      </c>
      <c r="P262" s="1">
        <v>9465089568</v>
      </c>
      <c r="Q262" s="1" t="s">
        <v>2790</v>
      </c>
      <c r="R262" s="10">
        <v>25</v>
      </c>
      <c r="S262" s="10">
        <v>102</v>
      </c>
      <c r="T262" s="1" t="s">
        <v>756</v>
      </c>
      <c r="U262" t="str">
        <f t="shared" si="24"/>
        <v>Valid</v>
      </c>
      <c r="V262">
        <f t="shared" si="25"/>
        <v>4</v>
      </c>
      <c r="W262" t="str">
        <f t="shared" si="26"/>
        <v>Apr</v>
      </c>
      <c r="X262">
        <f t="shared" si="27"/>
        <v>2018</v>
      </c>
      <c r="Y262">
        <f t="shared" ca="1" si="28"/>
        <v>7</v>
      </c>
      <c r="Z262" t="str" cm="1">
        <f t="array" ref="Z262">_xlfn.IFS(G262&lt;30,"20-29",G262&lt;40,"30-39",G262&lt;50,"40-49",G262&gt;=50,"50+")</f>
        <v>50+</v>
      </c>
      <c r="AA262" t="str" cm="1">
        <f t="array" ref="AA262">_xlfn.IFS(L262&lt;500000,"Band 1: &lt;5L", L262&lt;1000000,"Band 2: 5-10L", L262&lt;1500000,"Band 3: 10-15L", L262&lt;2000000,"Band 4: 15-20L", L262&gt;=2000000,"Band 5: 20L+")</f>
        <v>Band 3: 10-15L</v>
      </c>
      <c r="AB262" t="str" cm="1">
        <f t="array" ref="AB262">_xlfn.IFS(N262=1,"Poor", N262=2,"Below Average", N262=3,"Average", N262=4,"Good", N262=5,"Excellent")</f>
        <v>Excellent</v>
      </c>
      <c r="AC262" s="14">
        <f t="shared" si="29"/>
        <v>138806.93120000002</v>
      </c>
      <c r="AD262" t="str" cm="1">
        <f t="array" ref="AD262">_xlfn.IFS(K262&lt;2,"Junior (0-2 yrs)", K262&lt;5,"Mid-Level (2-5 yrs)", K262&lt;10,"Senior (5-10 yrs)", K262&gt;=10,"Expert (10+ yrs)")</f>
        <v>Expert (10+ yrs)</v>
      </c>
    </row>
    <row r="263" spans="1:30" x14ac:dyDescent="0.3">
      <c r="A263" s="1" t="s">
        <v>2036</v>
      </c>
      <c r="B263" s="1" t="s">
        <v>2037</v>
      </c>
      <c r="C263" s="1" t="s">
        <v>124</v>
      </c>
      <c r="D263" s="1" t="s">
        <v>244</v>
      </c>
      <c r="E263" s="1" t="s">
        <v>36</v>
      </c>
      <c r="F263" s="1" t="s">
        <v>93</v>
      </c>
      <c r="G263" s="1">
        <v>42</v>
      </c>
      <c r="H263" s="1" t="s">
        <v>38</v>
      </c>
      <c r="I263" s="1" t="s">
        <v>51</v>
      </c>
      <c r="J263" s="5">
        <v>41407</v>
      </c>
      <c r="K263" s="8">
        <v>18.5</v>
      </c>
      <c r="L263" s="11">
        <v>1913392</v>
      </c>
      <c r="M263" s="12">
        <v>0.12809999999999999</v>
      </c>
      <c r="N263" s="7">
        <v>5</v>
      </c>
      <c r="O263" s="1" t="s">
        <v>41</v>
      </c>
      <c r="P263" s="1">
        <v>7593478613</v>
      </c>
      <c r="Q263" s="1" t="s">
        <v>2791</v>
      </c>
      <c r="R263" s="10">
        <v>70</v>
      </c>
      <c r="S263" s="10">
        <v>91</v>
      </c>
      <c r="T263" s="1" t="s">
        <v>397</v>
      </c>
      <c r="U263" t="str">
        <f t="shared" si="24"/>
        <v>Invalid</v>
      </c>
      <c r="V263">
        <f t="shared" si="25"/>
        <v>5</v>
      </c>
      <c r="W263" t="str">
        <f t="shared" si="26"/>
        <v>May</v>
      </c>
      <c r="X263">
        <f t="shared" si="27"/>
        <v>2013</v>
      </c>
      <c r="Y263">
        <f t="shared" ca="1" si="28"/>
        <v>12</v>
      </c>
      <c r="Z263" t="str" cm="1">
        <f t="array" ref="Z263">_xlfn.IFS(G263&lt;30,"20-29",G263&lt;40,"30-39",G263&lt;50,"40-49",G263&gt;=50,"50+")</f>
        <v>40-49</v>
      </c>
      <c r="AA263" t="str" cm="1">
        <f t="array" ref="AA263">_xlfn.IFS(L263&lt;500000,"Band 1: &lt;5L", L263&lt;1000000,"Band 2: 5-10L", L263&lt;1500000,"Band 3: 10-15L", L263&lt;2000000,"Band 4: 15-20L", L263&gt;=2000000,"Band 5: 20L+")</f>
        <v>Band 4: 15-20L</v>
      </c>
      <c r="AB263" t="str" cm="1">
        <f t="array" ref="AB263">_xlfn.IFS(N263=1,"Poor", N263=2,"Below Average", N263=3,"Average", N263=4,"Good", N263=5,"Excellent")</f>
        <v>Excellent</v>
      </c>
      <c r="AC263" s="14">
        <f t="shared" si="29"/>
        <v>245105.51519999999</v>
      </c>
      <c r="AD263" t="str" cm="1">
        <f t="array" ref="AD263">_xlfn.IFS(K263&lt;2,"Junior (0-2 yrs)", K263&lt;5,"Mid-Level (2-5 yrs)", K263&lt;10,"Senior (5-10 yrs)", K263&gt;=10,"Expert (10+ yrs)")</f>
        <v>Expert (10+ yrs)</v>
      </c>
    </row>
    <row r="264" spans="1:30" x14ac:dyDescent="0.3">
      <c r="A264" s="1" t="s">
        <v>2041</v>
      </c>
      <c r="B264" s="1" t="s">
        <v>2042</v>
      </c>
      <c r="C264" s="1" t="s">
        <v>46</v>
      </c>
      <c r="D264" s="1" t="s">
        <v>23</v>
      </c>
      <c r="E264" s="1" t="s">
        <v>36</v>
      </c>
      <c r="F264" s="1" t="s">
        <v>37</v>
      </c>
      <c r="G264" s="1">
        <v>39</v>
      </c>
      <c r="H264" s="1" t="s">
        <v>26</v>
      </c>
      <c r="I264" s="1" t="s">
        <v>27</v>
      </c>
      <c r="J264" s="5">
        <v>43679</v>
      </c>
      <c r="K264" s="8">
        <v>21.8</v>
      </c>
      <c r="L264" s="11">
        <v>1319793</v>
      </c>
      <c r="M264" s="12">
        <v>1.4800000000000001E-2</v>
      </c>
      <c r="N264" s="7">
        <v>3</v>
      </c>
      <c r="O264" s="1" t="s">
        <v>41</v>
      </c>
      <c r="P264" s="1">
        <v>8073080953</v>
      </c>
      <c r="Q264" s="1" t="s">
        <v>2792</v>
      </c>
      <c r="R264" s="10">
        <v>43</v>
      </c>
      <c r="S264" s="10">
        <v>47</v>
      </c>
      <c r="T264" s="1" t="s">
        <v>294</v>
      </c>
      <c r="U264" t="str">
        <f t="shared" si="24"/>
        <v>Invalid</v>
      </c>
      <c r="V264">
        <f t="shared" si="25"/>
        <v>8</v>
      </c>
      <c r="W264" t="str">
        <f t="shared" si="26"/>
        <v>Aug</v>
      </c>
      <c r="X264">
        <f t="shared" si="27"/>
        <v>2019</v>
      </c>
      <c r="Y264">
        <f t="shared" ca="1" si="28"/>
        <v>6</v>
      </c>
      <c r="Z264" t="str" cm="1">
        <f t="array" ref="Z264">_xlfn.IFS(G264&lt;30,"20-29",G264&lt;40,"30-39",G264&lt;50,"40-49",G264&gt;=50,"50+")</f>
        <v>30-39</v>
      </c>
      <c r="AA264" t="str" cm="1">
        <f t="array" ref="AA264">_xlfn.IFS(L264&lt;500000,"Band 1: &lt;5L", L264&lt;1000000,"Band 2: 5-10L", L264&lt;1500000,"Band 3: 10-15L", L264&lt;2000000,"Band 4: 15-20L", L264&gt;=2000000,"Band 5: 20L+")</f>
        <v>Band 3: 10-15L</v>
      </c>
      <c r="AB264" t="str" cm="1">
        <f t="array" ref="AB264">_xlfn.IFS(N264=1,"Poor", N264=2,"Below Average", N264=3,"Average", N264=4,"Good", N264=5,"Excellent")</f>
        <v>Average</v>
      </c>
      <c r="AC264" s="14">
        <f t="shared" si="29"/>
        <v>19532.936400000002</v>
      </c>
      <c r="AD264" t="str" cm="1">
        <f t="array" ref="AD264">_xlfn.IFS(K264&lt;2,"Junior (0-2 yrs)", K264&lt;5,"Mid-Level (2-5 yrs)", K264&lt;10,"Senior (5-10 yrs)", K264&gt;=10,"Expert (10+ yrs)")</f>
        <v>Expert (10+ yrs)</v>
      </c>
    </row>
    <row r="265" spans="1:30" x14ac:dyDescent="0.3">
      <c r="A265" s="1" t="s">
        <v>677</v>
      </c>
      <c r="B265" s="1" t="s">
        <v>2054</v>
      </c>
      <c r="C265" s="1" t="s">
        <v>69</v>
      </c>
      <c r="D265" s="1" t="s">
        <v>111</v>
      </c>
      <c r="E265" s="1" t="s">
        <v>155</v>
      </c>
      <c r="F265" s="1" t="s">
        <v>93</v>
      </c>
      <c r="G265" s="1">
        <v>52</v>
      </c>
      <c r="H265" s="1" t="s">
        <v>38</v>
      </c>
      <c r="I265" s="1" t="s">
        <v>27</v>
      </c>
      <c r="J265" s="5">
        <v>40352</v>
      </c>
      <c r="K265" s="8">
        <v>26.2</v>
      </c>
      <c r="L265" s="11">
        <v>2424887</v>
      </c>
      <c r="M265" s="12">
        <v>4.1599999999999998E-2</v>
      </c>
      <c r="N265" s="7">
        <v>4</v>
      </c>
      <c r="O265" s="1" t="s">
        <v>41</v>
      </c>
      <c r="P265" s="1">
        <v>7469738105</v>
      </c>
      <c r="Q265" s="1" t="s">
        <v>2793</v>
      </c>
      <c r="R265" s="10">
        <v>72</v>
      </c>
      <c r="S265" s="10">
        <v>86</v>
      </c>
      <c r="T265" s="1" t="s">
        <v>152</v>
      </c>
      <c r="U265" t="str">
        <f t="shared" si="24"/>
        <v>Valid</v>
      </c>
      <c r="V265">
        <f t="shared" si="25"/>
        <v>6</v>
      </c>
      <c r="W265" t="str">
        <f t="shared" si="26"/>
        <v>Jun</v>
      </c>
      <c r="X265">
        <f t="shared" si="27"/>
        <v>2010</v>
      </c>
      <c r="Y265">
        <f t="shared" ca="1" si="28"/>
        <v>15</v>
      </c>
      <c r="Z265" t="str" cm="1">
        <f t="array" ref="Z265">_xlfn.IFS(G265&lt;30,"20-29",G265&lt;40,"30-39",G265&lt;50,"40-49",G265&gt;=50,"50+")</f>
        <v>50+</v>
      </c>
      <c r="AA265" t="str" cm="1">
        <f t="array" ref="AA265">_xlfn.IFS(L265&lt;500000,"Band 1: &lt;5L", L265&lt;1000000,"Band 2: 5-10L", L265&lt;1500000,"Band 3: 10-15L", L265&lt;2000000,"Band 4: 15-20L", L265&gt;=2000000,"Band 5: 20L+")</f>
        <v>Band 5: 20L+</v>
      </c>
      <c r="AB265" t="str" cm="1">
        <f t="array" ref="AB265">_xlfn.IFS(N265=1,"Poor", N265=2,"Below Average", N265=3,"Average", N265=4,"Good", N265=5,"Excellent")</f>
        <v>Good</v>
      </c>
      <c r="AC265" s="14">
        <f t="shared" si="29"/>
        <v>100875.29919999999</v>
      </c>
      <c r="AD265" t="str" cm="1">
        <f t="array" ref="AD265">_xlfn.IFS(K265&lt;2,"Junior (0-2 yrs)", K265&lt;5,"Mid-Level (2-5 yrs)", K265&lt;10,"Senior (5-10 yrs)", K265&gt;=10,"Expert (10+ yrs)")</f>
        <v>Expert (10+ yrs)</v>
      </c>
    </row>
    <row r="266" spans="1:30" x14ac:dyDescent="0.3">
      <c r="A266" s="1" t="s">
        <v>2058</v>
      </c>
      <c r="B266" s="1" t="s">
        <v>1309</v>
      </c>
      <c r="C266" s="1" t="s">
        <v>69</v>
      </c>
      <c r="D266" s="1" t="s">
        <v>101</v>
      </c>
      <c r="E266" s="1" t="s">
        <v>24</v>
      </c>
      <c r="F266" s="1" t="s">
        <v>37</v>
      </c>
      <c r="G266" s="1">
        <v>58</v>
      </c>
      <c r="H266" s="1" t="s">
        <v>62</v>
      </c>
      <c r="I266" s="1" t="s">
        <v>39</v>
      </c>
      <c r="J266" s="5">
        <v>41822</v>
      </c>
      <c r="K266" s="8">
        <v>11.2</v>
      </c>
      <c r="L266" s="11">
        <v>2034380</v>
      </c>
      <c r="M266" s="12">
        <v>9.7699999999999995E-2</v>
      </c>
      <c r="N266" s="7">
        <v>1</v>
      </c>
      <c r="O266" s="1" t="s">
        <v>76</v>
      </c>
      <c r="P266" s="1">
        <v>7118821302</v>
      </c>
      <c r="Q266" s="1" t="s">
        <v>2794</v>
      </c>
      <c r="R266" s="10">
        <v>28</v>
      </c>
      <c r="S266" s="10">
        <v>16</v>
      </c>
      <c r="T266" s="1" t="s">
        <v>510</v>
      </c>
      <c r="U266" t="str">
        <f t="shared" si="24"/>
        <v>Invalid</v>
      </c>
      <c r="V266">
        <f t="shared" si="25"/>
        <v>7</v>
      </c>
      <c r="W266" t="str">
        <f t="shared" si="26"/>
        <v>Jul</v>
      </c>
      <c r="X266">
        <f t="shared" si="27"/>
        <v>2014</v>
      </c>
      <c r="Y266">
        <f t="shared" ca="1" si="28"/>
        <v>11</v>
      </c>
      <c r="Z266" t="str" cm="1">
        <f t="array" ref="Z266">_xlfn.IFS(G266&lt;30,"20-29",G266&lt;40,"30-39",G266&lt;50,"40-49",G266&gt;=50,"50+")</f>
        <v>50+</v>
      </c>
      <c r="AA266" t="str" cm="1">
        <f t="array" ref="AA266">_xlfn.IFS(L266&lt;500000,"Band 1: &lt;5L", L266&lt;1000000,"Band 2: 5-10L", L266&lt;1500000,"Band 3: 10-15L", L266&lt;2000000,"Band 4: 15-20L", L266&gt;=2000000,"Band 5: 20L+")</f>
        <v>Band 5: 20L+</v>
      </c>
      <c r="AB266" t="str" cm="1">
        <f t="array" ref="AB266">_xlfn.IFS(N266=1,"Poor", N266=2,"Below Average", N266=3,"Average", N266=4,"Good", N266=5,"Excellent")</f>
        <v>Poor</v>
      </c>
      <c r="AC266" s="14">
        <f t="shared" si="29"/>
        <v>198758.92599999998</v>
      </c>
      <c r="AD266" t="str" cm="1">
        <f t="array" ref="AD266">_xlfn.IFS(K266&lt;2,"Junior (0-2 yrs)", K266&lt;5,"Mid-Level (2-5 yrs)", K266&lt;10,"Senior (5-10 yrs)", K266&gt;=10,"Expert (10+ yrs)")</f>
        <v>Expert (10+ yrs)</v>
      </c>
    </row>
    <row r="267" spans="1:30" x14ac:dyDescent="0.3">
      <c r="A267" s="1" t="s">
        <v>2062</v>
      </c>
      <c r="B267" s="1" t="s">
        <v>2063</v>
      </c>
      <c r="C267" s="1" t="s">
        <v>69</v>
      </c>
      <c r="D267" s="1" t="s">
        <v>111</v>
      </c>
      <c r="E267" s="1" t="s">
        <v>48</v>
      </c>
      <c r="F267" s="1" t="s">
        <v>37</v>
      </c>
      <c r="G267" s="1">
        <v>49</v>
      </c>
      <c r="H267" s="1" t="s">
        <v>26</v>
      </c>
      <c r="I267" s="1" t="s">
        <v>27</v>
      </c>
      <c r="J267" s="5">
        <v>41780</v>
      </c>
      <c r="K267" s="8">
        <v>8.8000000000000007</v>
      </c>
      <c r="L267" s="11">
        <v>741199</v>
      </c>
      <c r="M267" s="12">
        <v>0.12140000000000001</v>
      </c>
      <c r="N267" s="7">
        <v>3</v>
      </c>
      <c r="O267" s="1" t="s">
        <v>41</v>
      </c>
      <c r="P267" s="1">
        <v>8531848603</v>
      </c>
      <c r="Q267" s="1" t="s">
        <v>2548</v>
      </c>
      <c r="R267" s="10">
        <v>28</v>
      </c>
      <c r="S267" s="10">
        <v>85</v>
      </c>
      <c r="T267" s="1" t="s">
        <v>335</v>
      </c>
      <c r="U267" t="str">
        <f t="shared" si="24"/>
        <v>Invalid</v>
      </c>
      <c r="V267">
        <f t="shared" si="25"/>
        <v>5</v>
      </c>
      <c r="W267" t="str">
        <f t="shared" si="26"/>
        <v>May</v>
      </c>
      <c r="X267">
        <f t="shared" si="27"/>
        <v>2014</v>
      </c>
      <c r="Y267">
        <f t="shared" ca="1" si="28"/>
        <v>11</v>
      </c>
      <c r="Z267" t="str" cm="1">
        <f t="array" ref="Z267">_xlfn.IFS(G267&lt;30,"20-29",G267&lt;40,"30-39",G267&lt;50,"40-49",G267&gt;=50,"50+")</f>
        <v>40-49</v>
      </c>
      <c r="AA267" t="str" cm="1">
        <f t="array" ref="AA267">_xlfn.IFS(L267&lt;500000,"Band 1: &lt;5L", L267&lt;1000000,"Band 2: 5-10L", L267&lt;1500000,"Band 3: 10-15L", L267&lt;2000000,"Band 4: 15-20L", L267&gt;=2000000,"Band 5: 20L+")</f>
        <v>Band 2: 5-10L</v>
      </c>
      <c r="AB267" t="str" cm="1">
        <f t="array" ref="AB267">_xlfn.IFS(N267=1,"Poor", N267=2,"Below Average", N267=3,"Average", N267=4,"Good", N267=5,"Excellent")</f>
        <v>Average</v>
      </c>
      <c r="AC267" s="14">
        <f t="shared" si="29"/>
        <v>89981.558600000004</v>
      </c>
      <c r="AD267" t="str" cm="1">
        <f t="array" ref="AD267">_xlfn.IFS(K267&lt;2,"Junior (0-2 yrs)", K267&lt;5,"Mid-Level (2-5 yrs)", K267&lt;10,"Senior (5-10 yrs)", K267&gt;=10,"Expert (10+ yrs)")</f>
        <v>Senior (5-10 yrs)</v>
      </c>
    </row>
    <row r="268" spans="1:30" x14ac:dyDescent="0.3">
      <c r="A268" s="1" t="s">
        <v>2067</v>
      </c>
      <c r="B268" s="1" t="s">
        <v>1152</v>
      </c>
      <c r="C268" s="1" t="s">
        <v>46</v>
      </c>
      <c r="D268" s="1" t="s">
        <v>231</v>
      </c>
      <c r="E268" s="1" t="s">
        <v>189</v>
      </c>
      <c r="F268" s="1" t="s">
        <v>37</v>
      </c>
      <c r="G268" s="1">
        <v>42</v>
      </c>
      <c r="H268" s="1" t="s">
        <v>38</v>
      </c>
      <c r="I268" s="1" t="s">
        <v>39</v>
      </c>
      <c r="J268" s="5">
        <v>41471</v>
      </c>
      <c r="K268" s="8">
        <v>15.8</v>
      </c>
      <c r="L268" s="11">
        <v>1513503</v>
      </c>
      <c r="M268" s="12">
        <v>3.2400000000000005E-2</v>
      </c>
      <c r="N268" s="7">
        <v>3</v>
      </c>
      <c r="O268" s="1" t="s">
        <v>41</v>
      </c>
      <c r="P268" s="1">
        <v>9938004886</v>
      </c>
      <c r="Q268" s="1" t="s">
        <v>2795</v>
      </c>
      <c r="R268" s="10">
        <v>47</v>
      </c>
      <c r="S268" s="10">
        <v>110</v>
      </c>
      <c r="T268" s="1" t="s">
        <v>425</v>
      </c>
      <c r="U268" t="str">
        <f t="shared" si="24"/>
        <v>Valid</v>
      </c>
      <c r="V268">
        <f t="shared" si="25"/>
        <v>7</v>
      </c>
      <c r="W268" t="str">
        <f t="shared" si="26"/>
        <v>Jul</v>
      </c>
      <c r="X268">
        <f t="shared" si="27"/>
        <v>2013</v>
      </c>
      <c r="Y268">
        <f t="shared" ca="1" si="28"/>
        <v>12</v>
      </c>
      <c r="Z268" t="str" cm="1">
        <f t="array" ref="Z268">_xlfn.IFS(G268&lt;30,"20-29",G268&lt;40,"30-39",G268&lt;50,"40-49",G268&gt;=50,"50+")</f>
        <v>40-49</v>
      </c>
      <c r="AA268" t="str" cm="1">
        <f t="array" ref="AA268">_xlfn.IFS(L268&lt;500000,"Band 1: &lt;5L", L268&lt;1000000,"Band 2: 5-10L", L268&lt;1500000,"Band 3: 10-15L", L268&lt;2000000,"Band 4: 15-20L", L268&gt;=2000000,"Band 5: 20L+")</f>
        <v>Band 4: 15-20L</v>
      </c>
      <c r="AB268" t="str" cm="1">
        <f t="array" ref="AB268">_xlfn.IFS(N268=1,"Poor", N268=2,"Below Average", N268=3,"Average", N268=4,"Good", N268=5,"Excellent")</f>
        <v>Average</v>
      </c>
      <c r="AC268" s="14">
        <f t="shared" si="29"/>
        <v>49037.497200000005</v>
      </c>
      <c r="AD268" t="str" cm="1">
        <f t="array" ref="AD268">_xlfn.IFS(K268&lt;2,"Junior (0-2 yrs)", K268&lt;5,"Mid-Level (2-5 yrs)", K268&lt;10,"Senior (5-10 yrs)", K268&gt;=10,"Expert (10+ yrs)")</f>
        <v>Expert (10+ yrs)</v>
      </c>
    </row>
    <row r="269" spans="1:30" x14ac:dyDescent="0.3">
      <c r="A269" s="1" t="s">
        <v>2071</v>
      </c>
      <c r="B269" s="1" t="s">
        <v>2072</v>
      </c>
      <c r="C269" s="1" t="s">
        <v>124</v>
      </c>
      <c r="D269" s="1" t="s">
        <v>244</v>
      </c>
      <c r="E269" s="1" t="s">
        <v>168</v>
      </c>
      <c r="F269" s="1" t="s">
        <v>93</v>
      </c>
      <c r="G269" s="1">
        <v>35</v>
      </c>
      <c r="H269" s="1" t="s">
        <v>73</v>
      </c>
      <c r="I269" s="1" t="s">
        <v>39</v>
      </c>
      <c r="J269" s="5">
        <v>42984</v>
      </c>
      <c r="K269" s="8">
        <v>29.4</v>
      </c>
      <c r="L269" s="11">
        <v>445496</v>
      </c>
      <c r="M269" s="12">
        <v>3.9E-2</v>
      </c>
      <c r="N269" s="7">
        <v>2</v>
      </c>
      <c r="O269" s="1" t="s">
        <v>76</v>
      </c>
      <c r="P269" s="1">
        <v>9144979311</v>
      </c>
      <c r="Q269" s="1" t="s">
        <v>2796</v>
      </c>
      <c r="R269" s="10">
        <v>69</v>
      </c>
      <c r="S269" s="10">
        <v>42</v>
      </c>
      <c r="T269" s="1" t="s">
        <v>152</v>
      </c>
      <c r="U269" t="str">
        <f t="shared" si="24"/>
        <v>Valid</v>
      </c>
      <c r="V269">
        <f t="shared" si="25"/>
        <v>9</v>
      </c>
      <c r="W269" t="str">
        <f t="shared" si="26"/>
        <v>Sep</v>
      </c>
      <c r="X269">
        <f t="shared" si="27"/>
        <v>2017</v>
      </c>
      <c r="Y269">
        <f t="shared" ca="1" si="28"/>
        <v>8</v>
      </c>
      <c r="Z269" t="str" cm="1">
        <f t="array" ref="Z269">_xlfn.IFS(G269&lt;30,"20-29",G269&lt;40,"30-39",G269&lt;50,"40-49",G269&gt;=50,"50+")</f>
        <v>30-39</v>
      </c>
      <c r="AA269" t="str" cm="1">
        <f t="array" ref="AA269">_xlfn.IFS(L269&lt;500000,"Band 1: &lt;5L", L269&lt;1000000,"Band 2: 5-10L", L269&lt;1500000,"Band 3: 10-15L", L269&lt;2000000,"Band 4: 15-20L", L269&gt;=2000000,"Band 5: 20L+")</f>
        <v>Band 1: &lt;5L</v>
      </c>
      <c r="AB269" t="str" cm="1">
        <f t="array" ref="AB269">_xlfn.IFS(N269=1,"Poor", N269=2,"Below Average", N269=3,"Average", N269=4,"Good", N269=5,"Excellent")</f>
        <v>Below Average</v>
      </c>
      <c r="AC269" s="14">
        <f t="shared" si="29"/>
        <v>17374.344000000001</v>
      </c>
      <c r="AD269" t="str" cm="1">
        <f t="array" ref="AD269">_xlfn.IFS(K269&lt;2,"Junior (0-2 yrs)", K269&lt;5,"Mid-Level (2-5 yrs)", K269&lt;10,"Senior (5-10 yrs)", K269&gt;=10,"Expert (10+ yrs)")</f>
        <v>Expert (10+ yrs)</v>
      </c>
    </row>
    <row r="270" spans="1:30" x14ac:dyDescent="0.3">
      <c r="A270" s="1" t="s">
        <v>2076</v>
      </c>
      <c r="B270" s="1" t="s">
        <v>2077</v>
      </c>
      <c r="C270" s="1" t="s">
        <v>69</v>
      </c>
      <c r="D270" s="1" t="s">
        <v>111</v>
      </c>
      <c r="E270" s="1" t="s">
        <v>36</v>
      </c>
      <c r="F270" s="1" t="s">
        <v>37</v>
      </c>
      <c r="G270" s="1">
        <v>42</v>
      </c>
      <c r="H270" s="1" t="s">
        <v>38</v>
      </c>
      <c r="I270" s="1" t="s">
        <v>27</v>
      </c>
      <c r="J270" s="5">
        <v>40874</v>
      </c>
      <c r="K270" s="8">
        <v>28.7</v>
      </c>
      <c r="L270" s="11">
        <v>2167372</v>
      </c>
      <c r="M270" s="12">
        <v>0.22579999999999997</v>
      </c>
      <c r="N270" s="7">
        <v>3</v>
      </c>
      <c r="O270" s="1" t="s">
        <v>76</v>
      </c>
      <c r="P270" s="1">
        <v>7388836304</v>
      </c>
      <c r="Q270" s="1" t="s">
        <v>2549</v>
      </c>
      <c r="R270" s="10">
        <v>0</v>
      </c>
      <c r="S270" s="10">
        <v>84</v>
      </c>
      <c r="T270" s="1" t="s">
        <v>904</v>
      </c>
      <c r="U270" t="str">
        <f t="shared" si="24"/>
        <v>Invalid</v>
      </c>
      <c r="V270">
        <f t="shared" si="25"/>
        <v>11</v>
      </c>
      <c r="W270" t="str">
        <f t="shared" si="26"/>
        <v>Nov</v>
      </c>
      <c r="X270">
        <f t="shared" si="27"/>
        <v>2011</v>
      </c>
      <c r="Y270">
        <f t="shared" ca="1" si="28"/>
        <v>14</v>
      </c>
      <c r="Z270" t="str" cm="1">
        <f t="array" ref="Z270">_xlfn.IFS(G270&lt;30,"20-29",G270&lt;40,"30-39",G270&lt;50,"40-49",G270&gt;=50,"50+")</f>
        <v>40-49</v>
      </c>
      <c r="AA270" t="str" cm="1">
        <f t="array" ref="AA270">_xlfn.IFS(L270&lt;500000,"Band 1: &lt;5L", L270&lt;1000000,"Band 2: 5-10L", L270&lt;1500000,"Band 3: 10-15L", L270&lt;2000000,"Band 4: 15-20L", L270&gt;=2000000,"Band 5: 20L+")</f>
        <v>Band 5: 20L+</v>
      </c>
      <c r="AB270" t="str" cm="1">
        <f t="array" ref="AB270">_xlfn.IFS(N270=1,"Poor", N270=2,"Below Average", N270=3,"Average", N270=4,"Good", N270=5,"Excellent")</f>
        <v>Average</v>
      </c>
      <c r="AC270" s="14">
        <f t="shared" si="29"/>
        <v>489392.59759999992</v>
      </c>
      <c r="AD270" t="str" cm="1">
        <f t="array" ref="AD270">_xlfn.IFS(K270&lt;2,"Junior (0-2 yrs)", K270&lt;5,"Mid-Level (2-5 yrs)", K270&lt;10,"Senior (5-10 yrs)", K270&gt;=10,"Expert (10+ yrs)")</f>
        <v>Expert (10+ yrs)</v>
      </c>
    </row>
    <row r="271" spans="1:30" x14ac:dyDescent="0.3">
      <c r="A271" s="1" t="s">
        <v>2086</v>
      </c>
      <c r="B271" s="1" t="s">
        <v>2087</v>
      </c>
      <c r="C271" s="1" t="s">
        <v>124</v>
      </c>
      <c r="D271" s="1" t="s">
        <v>23</v>
      </c>
      <c r="E271" s="1" t="s">
        <v>168</v>
      </c>
      <c r="F271" s="1" t="s">
        <v>37</v>
      </c>
      <c r="G271" s="1">
        <v>50</v>
      </c>
      <c r="H271" s="1" t="s">
        <v>218</v>
      </c>
      <c r="I271" s="1" t="s">
        <v>51</v>
      </c>
      <c r="J271" s="5">
        <v>42842</v>
      </c>
      <c r="K271" s="8">
        <v>21.9</v>
      </c>
      <c r="L271" s="11">
        <v>387270</v>
      </c>
      <c r="M271" s="12">
        <v>0.24</v>
      </c>
      <c r="N271" s="7">
        <v>3</v>
      </c>
      <c r="O271" s="1" t="s">
        <v>41</v>
      </c>
      <c r="P271" s="1">
        <v>7563321747</v>
      </c>
      <c r="Q271" s="1" t="s">
        <v>2797</v>
      </c>
      <c r="R271" s="10">
        <v>46</v>
      </c>
      <c r="S271" s="10">
        <v>102</v>
      </c>
      <c r="T271" s="1" t="s">
        <v>548</v>
      </c>
      <c r="U271" t="str">
        <f t="shared" si="24"/>
        <v>Valid</v>
      </c>
      <c r="V271">
        <f t="shared" si="25"/>
        <v>4</v>
      </c>
      <c r="W271" t="str">
        <f t="shared" si="26"/>
        <v>Apr</v>
      </c>
      <c r="X271">
        <f t="shared" si="27"/>
        <v>2017</v>
      </c>
      <c r="Y271">
        <f t="shared" ca="1" si="28"/>
        <v>8</v>
      </c>
      <c r="Z271" t="str" cm="1">
        <f t="array" ref="Z271">_xlfn.IFS(G271&lt;30,"20-29",G271&lt;40,"30-39",G271&lt;50,"40-49",G271&gt;=50,"50+")</f>
        <v>50+</v>
      </c>
      <c r="AA271" t="str" cm="1">
        <f t="array" ref="AA271">_xlfn.IFS(L271&lt;500000,"Band 1: &lt;5L", L271&lt;1000000,"Band 2: 5-10L", L271&lt;1500000,"Band 3: 10-15L", L271&lt;2000000,"Band 4: 15-20L", L271&gt;=2000000,"Band 5: 20L+")</f>
        <v>Band 1: &lt;5L</v>
      </c>
      <c r="AB271" t="str" cm="1">
        <f t="array" ref="AB271">_xlfn.IFS(N271=1,"Poor", N271=2,"Below Average", N271=3,"Average", N271=4,"Good", N271=5,"Excellent")</f>
        <v>Average</v>
      </c>
      <c r="AC271" s="14">
        <f t="shared" si="29"/>
        <v>92944.8</v>
      </c>
      <c r="AD271" t="str" cm="1">
        <f t="array" ref="AD271">_xlfn.IFS(K271&lt;2,"Junior (0-2 yrs)", K271&lt;5,"Mid-Level (2-5 yrs)", K271&lt;10,"Senior (5-10 yrs)", K271&gt;=10,"Expert (10+ yrs)")</f>
        <v>Expert (10+ yrs)</v>
      </c>
    </row>
    <row r="272" spans="1:30" x14ac:dyDescent="0.3">
      <c r="A272" s="1" t="s">
        <v>522</v>
      </c>
      <c r="B272" s="1" t="s">
        <v>2091</v>
      </c>
      <c r="C272" s="1" t="s">
        <v>46</v>
      </c>
      <c r="D272" s="1" t="s">
        <v>101</v>
      </c>
      <c r="E272" s="1" t="s">
        <v>290</v>
      </c>
      <c r="F272" s="1" t="s">
        <v>37</v>
      </c>
      <c r="G272" s="1">
        <v>23</v>
      </c>
      <c r="H272" s="1" t="s">
        <v>218</v>
      </c>
      <c r="I272" s="1" t="s">
        <v>27</v>
      </c>
      <c r="J272" s="5">
        <v>42234</v>
      </c>
      <c r="K272" s="8">
        <v>7.7</v>
      </c>
      <c r="L272" s="11">
        <v>1229442</v>
      </c>
      <c r="M272" s="12">
        <v>6.2899999999999998E-2</v>
      </c>
      <c r="N272" s="7">
        <v>3</v>
      </c>
      <c r="O272" s="1" t="s">
        <v>76</v>
      </c>
      <c r="P272" s="1">
        <v>8420737819</v>
      </c>
      <c r="Q272" s="1" t="s">
        <v>2798</v>
      </c>
      <c r="R272" s="10">
        <v>24</v>
      </c>
      <c r="S272" s="10">
        <v>95</v>
      </c>
      <c r="T272" s="1" t="s">
        <v>722</v>
      </c>
      <c r="U272" t="str">
        <f t="shared" si="24"/>
        <v>Valid</v>
      </c>
      <c r="V272">
        <f t="shared" si="25"/>
        <v>8</v>
      </c>
      <c r="W272" t="str">
        <f t="shared" si="26"/>
        <v>Aug</v>
      </c>
      <c r="X272">
        <f t="shared" si="27"/>
        <v>2015</v>
      </c>
      <c r="Y272">
        <f t="shared" ca="1" si="28"/>
        <v>10</v>
      </c>
      <c r="Z272" t="str" cm="1">
        <f t="array" ref="Z272">_xlfn.IFS(G272&lt;30,"20-29",G272&lt;40,"30-39",G272&lt;50,"40-49",G272&gt;=50,"50+")</f>
        <v>20-29</v>
      </c>
      <c r="AA272" t="str" cm="1">
        <f t="array" ref="AA272">_xlfn.IFS(L272&lt;500000,"Band 1: &lt;5L", L272&lt;1000000,"Band 2: 5-10L", L272&lt;1500000,"Band 3: 10-15L", L272&lt;2000000,"Band 4: 15-20L", L272&gt;=2000000,"Band 5: 20L+")</f>
        <v>Band 3: 10-15L</v>
      </c>
      <c r="AB272" t="str" cm="1">
        <f t="array" ref="AB272">_xlfn.IFS(N272=1,"Poor", N272=2,"Below Average", N272=3,"Average", N272=4,"Good", N272=5,"Excellent")</f>
        <v>Average</v>
      </c>
      <c r="AC272" s="14">
        <f t="shared" si="29"/>
        <v>77331.901799999992</v>
      </c>
      <c r="AD272" t="str" cm="1">
        <f t="array" ref="AD272">_xlfn.IFS(K272&lt;2,"Junior (0-2 yrs)", K272&lt;5,"Mid-Level (2-5 yrs)", K272&lt;10,"Senior (5-10 yrs)", K272&gt;=10,"Expert (10+ yrs)")</f>
        <v>Senior (5-10 yrs)</v>
      </c>
    </row>
    <row r="273" spans="1:30" x14ac:dyDescent="0.3">
      <c r="A273" s="1" t="s">
        <v>797</v>
      </c>
      <c r="B273" s="1" t="s">
        <v>1671</v>
      </c>
      <c r="C273" s="1" t="s">
        <v>46</v>
      </c>
      <c r="D273" s="1" t="s">
        <v>83</v>
      </c>
      <c r="E273" s="1" t="s">
        <v>48</v>
      </c>
      <c r="F273" s="1" t="s">
        <v>93</v>
      </c>
      <c r="G273" s="1">
        <v>29</v>
      </c>
      <c r="H273" s="1" t="s">
        <v>218</v>
      </c>
      <c r="I273" s="1" t="s">
        <v>198</v>
      </c>
      <c r="J273" s="5">
        <v>40875</v>
      </c>
      <c r="K273" s="8">
        <v>27</v>
      </c>
      <c r="L273" s="11">
        <v>610596</v>
      </c>
      <c r="M273" s="12">
        <v>0.17800000000000002</v>
      </c>
      <c r="N273" s="7">
        <v>3</v>
      </c>
      <c r="O273" s="1" t="s">
        <v>76</v>
      </c>
      <c r="P273" s="1">
        <v>9328608265</v>
      </c>
      <c r="Q273" s="1" t="s">
        <v>2799</v>
      </c>
      <c r="R273" s="10">
        <v>22</v>
      </c>
      <c r="S273" s="10">
        <v>65</v>
      </c>
      <c r="T273" s="1" t="s">
        <v>893</v>
      </c>
      <c r="U273" t="str">
        <f t="shared" si="24"/>
        <v>Valid</v>
      </c>
      <c r="V273">
        <f t="shared" si="25"/>
        <v>11</v>
      </c>
      <c r="W273" t="str">
        <f t="shared" si="26"/>
        <v>Nov</v>
      </c>
      <c r="X273">
        <f t="shared" si="27"/>
        <v>2011</v>
      </c>
      <c r="Y273">
        <f t="shared" ca="1" si="28"/>
        <v>14</v>
      </c>
      <c r="Z273" t="str" cm="1">
        <f t="array" ref="Z273">_xlfn.IFS(G273&lt;30,"20-29",G273&lt;40,"30-39",G273&lt;50,"40-49",G273&gt;=50,"50+")</f>
        <v>20-29</v>
      </c>
      <c r="AA273" t="str" cm="1">
        <f t="array" ref="AA273">_xlfn.IFS(L273&lt;500000,"Band 1: &lt;5L", L273&lt;1000000,"Band 2: 5-10L", L273&lt;1500000,"Band 3: 10-15L", L273&lt;2000000,"Band 4: 15-20L", L273&gt;=2000000,"Band 5: 20L+")</f>
        <v>Band 2: 5-10L</v>
      </c>
      <c r="AB273" t="str" cm="1">
        <f t="array" ref="AB273">_xlfn.IFS(N273=1,"Poor", N273=2,"Below Average", N273=3,"Average", N273=4,"Good", N273=5,"Excellent")</f>
        <v>Average</v>
      </c>
      <c r="AC273" s="14">
        <f t="shared" si="29"/>
        <v>108686.08800000002</v>
      </c>
      <c r="AD273" t="str" cm="1">
        <f t="array" ref="AD273">_xlfn.IFS(K273&lt;2,"Junior (0-2 yrs)", K273&lt;5,"Mid-Level (2-5 yrs)", K273&lt;10,"Senior (5-10 yrs)", K273&gt;=10,"Expert (10+ yrs)")</f>
        <v>Expert (10+ yrs)</v>
      </c>
    </row>
    <row r="274" spans="1:30" x14ac:dyDescent="0.3">
      <c r="A274" s="1" t="s">
        <v>2107</v>
      </c>
      <c r="B274" s="1" t="s">
        <v>2108</v>
      </c>
      <c r="C274" s="1" t="s">
        <v>197</v>
      </c>
      <c r="D274" s="1" t="s">
        <v>244</v>
      </c>
      <c r="E274" s="1" t="s">
        <v>24</v>
      </c>
      <c r="F274" s="1" t="s">
        <v>37</v>
      </c>
      <c r="G274" s="1">
        <v>31</v>
      </c>
      <c r="H274" s="1" t="s">
        <v>84</v>
      </c>
      <c r="I274" s="1" t="s">
        <v>39</v>
      </c>
      <c r="J274" s="5">
        <v>42205</v>
      </c>
      <c r="K274" s="8">
        <v>7.5</v>
      </c>
      <c r="L274" s="11">
        <v>357247</v>
      </c>
      <c r="M274" s="12">
        <v>3.8100000000000002E-2</v>
      </c>
      <c r="N274" s="7">
        <v>3</v>
      </c>
      <c r="O274" s="1" t="s">
        <v>41</v>
      </c>
      <c r="P274" s="1">
        <v>9087050235</v>
      </c>
      <c r="Q274" s="1" t="s">
        <v>2800</v>
      </c>
      <c r="R274" s="10">
        <v>31</v>
      </c>
      <c r="S274" s="10">
        <v>14</v>
      </c>
      <c r="T274" s="1" t="s">
        <v>1280</v>
      </c>
      <c r="U274" t="str">
        <f t="shared" si="24"/>
        <v>Valid</v>
      </c>
      <c r="V274">
        <f t="shared" si="25"/>
        <v>7</v>
      </c>
      <c r="W274" t="str">
        <f t="shared" si="26"/>
        <v>Jul</v>
      </c>
      <c r="X274">
        <f t="shared" si="27"/>
        <v>2015</v>
      </c>
      <c r="Y274">
        <f t="shared" ca="1" si="28"/>
        <v>10</v>
      </c>
      <c r="Z274" t="str" cm="1">
        <f t="array" ref="Z274">_xlfn.IFS(G274&lt;30,"20-29",G274&lt;40,"30-39",G274&lt;50,"40-49",G274&gt;=50,"50+")</f>
        <v>30-39</v>
      </c>
      <c r="AA274" t="str" cm="1">
        <f t="array" ref="AA274">_xlfn.IFS(L274&lt;500000,"Band 1: &lt;5L", L274&lt;1000000,"Band 2: 5-10L", L274&lt;1500000,"Band 3: 10-15L", L274&lt;2000000,"Band 4: 15-20L", L274&gt;=2000000,"Band 5: 20L+")</f>
        <v>Band 1: &lt;5L</v>
      </c>
      <c r="AB274" t="str" cm="1">
        <f t="array" ref="AB274">_xlfn.IFS(N274=1,"Poor", N274=2,"Below Average", N274=3,"Average", N274=4,"Good", N274=5,"Excellent")</f>
        <v>Average</v>
      </c>
      <c r="AC274" s="14">
        <f t="shared" si="29"/>
        <v>13611.110700000001</v>
      </c>
      <c r="AD274" t="str" cm="1">
        <f t="array" ref="AD274">_xlfn.IFS(K274&lt;2,"Junior (0-2 yrs)", K274&lt;5,"Mid-Level (2-5 yrs)", K274&lt;10,"Senior (5-10 yrs)", K274&gt;=10,"Expert (10+ yrs)")</f>
        <v>Senior (5-10 yrs)</v>
      </c>
    </row>
    <row r="275" spans="1:30" x14ac:dyDescent="0.3">
      <c r="A275" s="1" t="s">
        <v>2112</v>
      </c>
      <c r="B275" s="1" t="s">
        <v>2113</v>
      </c>
      <c r="C275" s="1" t="s">
        <v>124</v>
      </c>
      <c r="D275" s="1" t="s">
        <v>244</v>
      </c>
      <c r="E275" s="1" t="s">
        <v>290</v>
      </c>
      <c r="F275" s="1" t="s">
        <v>93</v>
      </c>
      <c r="G275" s="1">
        <v>49</v>
      </c>
      <c r="H275" s="1" t="s">
        <v>218</v>
      </c>
      <c r="I275" s="1" t="s">
        <v>39</v>
      </c>
      <c r="J275" s="5">
        <v>41215</v>
      </c>
      <c r="K275" s="8">
        <v>3</v>
      </c>
      <c r="L275" s="11">
        <v>2050352</v>
      </c>
      <c r="M275" s="12">
        <v>7.6999999999999999E-2</v>
      </c>
      <c r="N275" s="7">
        <v>3</v>
      </c>
      <c r="O275" s="1" t="s">
        <v>41</v>
      </c>
      <c r="P275" s="1">
        <v>8303509195</v>
      </c>
      <c r="Q275" s="1" t="s">
        <v>2801</v>
      </c>
      <c r="R275" s="10">
        <v>65</v>
      </c>
      <c r="S275" s="10">
        <v>96</v>
      </c>
      <c r="T275" s="1" t="s">
        <v>287</v>
      </c>
      <c r="U275" t="str">
        <f t="shared" si="24"/>
        <v>Valid</v>
      </c>
      <c r="V275">
        <f t="shared" si="25"/>
        <v>11</v>
      </c>
      <c r="W275" t="str">
        <f t="shared" si="26"/>
        <v>Nov</v>
      </c>
      <c r="X275">
        <f t="shared" si="27"/>
        <v>2012</v>
      </c>
      <c r="Y275">
        <f t="shared" ca="1" si="28"/>
        <v>13</v>
      </c>
      <c r="Z275" t="str" cm="1">
        <f t="array" ref="Z275">_xlfn.IFS(G275&lt;30,"20-29",G275&lt;40,"30-39",G275&lt;50,"40-49",G275&gt;=50,"50+")</f>
        <v>40-49</v>
      </c>
      <c r="AA275" t="str" cm="1">
        <f t="array" ref="AA275">_xlfn.IFS(L275&lt;500000,"Band 1: &lt;5L", L275&lt;1000000,"Band 2: 5-10L", L275&lt;1500000,"Band 3: 10-15L", L275&lt;2000000,"Band 4: 15-20L", L275&gt;=2000000,"Band 5: 20L+")</f>
        <v>Band 5: 20L+</v>
      </c>
      <c r="AB275" t="str" cm="1">
        <f t="array" ref="AB275">_xlfn.IFS(N275=1,"Poor", N275=2,"Below Average", N275=3,"Average", N275=4,"Good", N275=5,"Excellent")</f>
        <v>Average</v>
      </c>
      <c r="AC275" s="14">
        <f t="shared" si="29"/>
        <v>157877.10399999999</v>
      </c>
      <c r="AD275" t="str" cm="1">
        <f t="array" ref="AD275">_xlfn.IFS(K275&lt;2,"Junior (0-2 yrs)", K275&lt;5,"Mid-Level (2-5 yrs)", K275&lt;10,"Senior (5-10 yrs)", K275&gt;=10,"Expert (10+ yrs)")</f>
        <v>Mid-Level (2-5 yrs)</v>
      </c>
    </row>
    <row r="276" spans="1:30" x14ac:dyDescent="0.3">
      <c r="A276" s="1" t="s">
        <v>138</v>
      </c>
      <c r="B276" s="1" t="s">
        <v>2117</v>
      </c>
      <c r="C276" s="1" t="s">
        <v>132</v>
      </c>
      <c r="D276" s="1" t="s">
        <v>83</v>
      </c>
      <c r="E276" s="1" t="s">
        <v>24</v>
      </c>
      <c r="F276" s="1" t="s">
        <v>37</v>
      </c>
      <c r="G276" s="1">
        <v>25</v>
      </c>
      <c r="H276" s="1" t="s">
        <v>62</v>
      </c>
      <c r="I276" s="1" t="s">
        <v>51</v>
      </c>
      <c r="J276" s="5">
        <v>40854</v>
      </c>
      <c r="K276" s="8">
        <v>28.5</v>
      </c>
      <c r="L276" s="11">
        <v>1096114</v>
      </c>
      <c r="M276" s="12">
        <v>5.1299999999999998E-2</v>
      </c>
      <c r="N276" s="7">
        <v>5</v>
      </c>
      <c r="O276" s="1" t="s">
        <v>76</v>
      </c>
      <c r="P276" s="1">
        <v>8432410914</v>
      </c>
      <c r="Q276" s="1" t="s">
        <v>2802</v>
      </c>
      <c r="R276" s="10">
        <v>70</v>
      </c>
      <c r="S276" s="10">
        <v>27</v>
      </c>
      <c r="T276" s="1" t="s">
        <v>594</v>
      </c>
      <c r="U276" t="str">
        <f t="shared" si="24"/>
        <v>Invalid</v>
      </c>
      <c r="V276">
        <f t="shared" si="25"/>
        <v>11</v>
      </c>
      <c r="W276" t="str">
        <f t="shared" si="26"/>
        <v>Nov</v>
      </c>
      <c r="X276">
        <f t="shared" si="27"/>
        <v>2011</v>
      </c>
      <c r="Y276">
        <f t="shared" ca="1" si="28"/>
        <v>14</v>
      </c>
      <c r="Z276" t="str" cm="1">
        <f t="array" ref="Z276">_xlfn.IFS(G276&lt;30,"20-29",G276&lt;40,"30-39",G276&lt;50,"40-49",G276&gt;=50,"50+")</f>
        <v>20-29</v>
      </c>
      <c r="AA276" t="str" cm="1">
        <f t="array" ref="AA276">_xlfn.IFS(L276&lt;500000,"Band 1: &lt;5L", L276&lt;1000000,"Band 2: 5-10L", L276&lt;1500000,"Band 3: 10-15L", L276&lt;2000000,"Band 4: 15-20L", L276&gt;=2000000,"Band 5: 20L+")</f>
        <v>Band 3: 10-15L</v>
      </c>
      <c r="AB276" t="str" cm="1">
        <f t="array" ref="AB276">_xlfn.IFS(N276=1,"Poor", N276=2,"Below Average", N276=3,"Average", N276=4,"Good", N276=5,"Excellent")</f>
        <v>Excellent</v>
      </c>
      <c r="AC276" s="14">
        <f t="shared" si="29"/>
        <v>56230.648199999996</v>
      </c>
      <c r="AD276" t="str" cm="1">
        <f t="array" ref="AD276">_xlfn.IFS(K276&lt;2,"Junior (0-2 yrs)", K276&lt;5,"Mid-Level (2-5 yrs)", K276&lt;10,"Senior (5-10 yrs)", K276&gt;=10,"Expert (10+ yrs)")</f>
        <v>Expert (10+ yrs)</v>
      </c>
    </row>
    <row r="277" spans="1:30" x14ac:dyDescent="0.3">
      <c r="A277" s="1" t="s">
        <v>360</v>
      </c>
      <c r="B277" s="1" t="s">
        <v>2125</v>
      </c>
      <c r="C277" s="1" t="s">
        <v>197</v>
      </c>
      <c r="D277" s="1" t="s">
        <v>231</v>
      </c>
      <c r="E277" s="1" t="s">
        <v>24</v>
      </c>
      <c r="F277" s="1" t="s">
        <v>93</v>
      </c>
      <c r="G277" s="1">
        <v>53</v>
      </c>
      <c r="H277" s="1" t="s">
        <v>73</v>
      </c>
      <c r="I277" s="1" t="s">
        <v>51</v>
      </c>
      <c r="J277" s="5">
        <v>42135</v>
      </c>
      <c r="K277" s="8">
        <v>16.7</v>
      </c>
      <c r="L277" s="11">
        <v>1979618</v>
      </c>
      <c r="M277" s="12">
        <v>4.6900000000000004E-2</v>
      </c>
      <c r="N277" s="7">
        <v>3</v>
      </c>
      <c r="O277" s="1" t="s">
        <v>76</v>
      </c>
      <c r="P277" s="1">
        <v>9824629834</v>
      </c>
      <c r="Q277" s="1" t="s">
        <v>2803</v>
      </c>
      <c r="R277" s="10">
        <v>63</v>
      </c>
      <c r="S277" s="10">
        <v>97</v>
      </c>
      <c r="T277" s="1" t="s">
        <v>288</v>
      </c>
      <c r="U277" t="str">
        <f t="shared" si="24"/>
        <v>Valid</v>
      </c>
      <c r="V277">
        <f t="shared" si="25"/>
        <v>5</v>
      </c>
      <c r="W277" t="str">
        <f t="shared" si="26"/>
        <v>May</v>
      </c>
      <c r="X277">
        <f t="shared" si="27"/>
        <v>2015</v>
      </c>
      <c r="Y277">
        <f t="shared" ca="1" si="28"/>
        <v>10</v>
      </c>
      <c r="Z277" t="str" cm="1">
        <f t="array" ref="Z277">_xlfn.IFS(G277&lt;30,"20-29",G277&lt;40,"30-39",G277&lt;50,"40-49",G277&gt;=50,"50+")</f>
        <v>50+</v>
      </c>
      <c r="AA277" t="str" cm="1">
        <f t="array" ref="AA277">_xlfn.IFS(L277&lt;500000,"Band 1: &lt;5L", L277&lt;1000000,"Band 2: 5-10L", L277&lt;1500000,"Band 3: 10-15L", L277&lt;2000000,"Band 4: 15-20L", L277&gt;=2000000,"Band 5: 20L+")</f>
        <v>Band 4: 15-20L</v>
      </c>
      <c r="AB277" t="str" cm="1">
        <f t="array" ref="AB277">_xlfn.IFS(N277=1,"Poor", N277=2,"Below Average", N277=3,"Average", N277=4,"Good", N277=5,"Excellent")</f>
        <v>Average</v>
      </c>
      <c r="AC277" s="14">
        <f t="shared" si="29"/>
        <v>92844.084200000012</v>
      </c>
      <c r="AD277" t="str" cm="1">
        <f t="array" ref="AD277">_xlfn.IFS(K277&lt;2,"Junior (0-2 yrs)", K277&lt;5,"Mid-Level (2-5 yrs)", K277&lt;10,"Senior (5-10 yrs)", K277&gt;=10,"Expert (10+ yrs)")</f>
        <v>Expert (10+ yrs)</v>
      </c>
    </row>
    <row r="278" spans="1:30" x14ac:dyDescent="0.3">
      <c r="A278" s="1" t="s">
        <v>2137</v>
      </c>
      <c r="B278" s="1" t="s">
        <v>2138</v>
      </c>
      <c r="C278" s="1" t="s">
        <v>69</v>
      </c>
      <c r="D278" s="1" t="s">
        <v>111</v>
      </c>
      <c r="E278" s="1" t="s">
        <v>175</v>
      </c>
      <c r="F278" s="1" t="s">
        <v>37</v>
      </c>
      <c r="G278" s="1">
        <v>48</v>
      </c>
      <c r="H278" s="1" t="s">
        <v>62</v>
      </c>
      <c r="I278" s="1" t="s">
        <v>39</v>
      </c>
      <c r="J278" s="5">
        <v>40685</v>
      </c>
      <c r="K278" s="8">
        <v>21.2</v>
      </c>
      <c r="L278" s="11">
        <v>1469800</v>
      </c>
      <c r="M278" s="12">
        <v>4.6699999999999998E-2</v>
      </c>
      <c r="N278" s="7">
        <v>3</v>
      </c>
      <c r="O278" s="1" t="s">
        <v>41</v>
      </c>
      <c r="P278" s="1">
        <v>7590675140</v>
      </c>
      <c r="Q278" s="1" t="s">
        <v>2804</v>
      </c>
      <c r="R278" s="10">
        <v>69</v>
      </c>
      <c r="S278" s="10">
        <v>33</v>
      </c>
      <c r="T278" s="1" t="s">
        <v>510</v>
      </c>
      <c r="U278" t="str">
        <f t="shared" si="24"/>
        <v>Invalid</v>
      </c>
      <c r="V278">
        <f t="shared" si="25"/>
        <v>5</v>
      </c>
      <c r="W278" t="str">
        <f t="shared" si="26"/>
        <v>May</v>
      </c>
      <c r="X278">
        <f t="shared" si="27"/>
        <v>2011</v>
      </c>
      <c r="Y278">
        <f t="shared" ca="1" si="28"/>
        <v>14</v>
      </c>
      <c r="Z278" t="str" cm="1">
        <f t="array" ref="Z278">_xlfn.IFS(G278&lt;30,"20-29",G278&lt;40,"30-39",G278&lt;50,"40-49",G278&gt;=50,"50+")</f>
        <v>40-49</v>
      </c>
      <c r="AA278" t="str" cm="1">
        <f t="array" ref="AA278">_xlfn.IFS(L278&lt;500000,"Band 1: &lt;5L", L278&lt;1000000,"Band 2: 5-10L", L278&lt;1500000,"Band 3: 10-15L", L278&lt;2000000,"Band 4: 15-20L", L278&gt;=2000000,"Band 5: 20L+")</f>
        <v>Band 3: 10-15L</v>
      </c>
      <c r="AB278" t="str" cm="1">
        <f t="array" ref="AB278">_xlfn.IFS(N278=1,"Poor", N278=2,"Below Average", N278=3,"Average", N278=4,"Good", N278=5,"Excellent")</f>
        <v>Average</v>
      </c>
      <c r="AC278" s="14">
        <f t="shared" si="29"/>
        <v>68639.66</v>
      </c>
      <c r="AD278" t="str" cm="1">
        <f t="array" ref="AD278">_xlfn.IFS(K278&lt;2,"Junior (0-2 yrs)", K278&lt;5,"Mid-Level (2-5 yrs)", K278&lt;10,"Senior (5-10 yrs)", K278&gt;=10,"Expert (10+ yrs)")</f>
        <v>Expert (10+ yrs)</v>
      </c>
    </row>
    <row r="279" spans="1:30" x14ac:dyDescent="0.3">
      <c r="A279" s="1" t="s">
        <v>2142</v>
      </c>
      <c r="B279" s="1" t="s">
        <v>2143</v>
      </c>
      <c r="C279" s="1" t="s">
        <v>197</v>
      </c>
      <c r="D279" s="1" t="s">
        <v>23</v>
      </c>
      <c r="E279" s="1" t="s">
        <v>155</v>
      </c>
      <c r="F279" s="1" t="s">
        <v>37</v>
      </c>
      <c r="G279" s="1">
        <v>46</v>
      </c>
      <c r="H279" s="1" t="s">
        <v>218</v>
      </c>
      <c r="I279" s="1" t="s">
        <v>27</v>
      </c>
      <c r="J279" s="5">
        <v>41371</v>
      </c>
      <c r="K279" s="8">
        <v>12.3</v>
      </c>
      <c r="L279" s="11">
        <v>1716841</v>
      </c>
      <c r="M279" s="12">
        <v>0.19800000000000001</v>
      </c>
      <c r="N279" s="7">
        <v>5</v>
      </c>
      <c r="O279" s="1" t="s">
        <v>41</v>
      </c>
      <c r="P279" s="1">
        <v>8560855124</v>
      </c>
      <c r="Q279" s="1" t="s">
        <v>2805</v>
      </c>
      <c r="R279" s="10">
        <v>39</v>
      </c>
      <c r="S279" s="10">
        <v>18</v>
      </c>
      <c r="T279" s="1" t="s">
        <v>66</v>
      </c>
      <c r="U279" t="str">
        <f t="shared" si="24"/>
        <v>Valid</v>
      </c>
      <c r="V279">
        <f t="shared" si="25"/>
        <v>4</v>
      </c>
      <c r="W279" t="str">
        <f t="shared" si="26"/>
        <v>Apr</v>
      </c>
      <c r="X279">
        <f t="shared" si="27"/>
        <v>2013</v>
      </c>
      <c r="Y279">
        <f t="shared" ca="1" si="28"/>
        <v>12</v>
      </c>
      <c r="Z279" t="str" cm="1">
        <f t="array" ref="Z279">_xlfn.IFS(G279&lt;30,"20-29",G279&lt;40,"30-39",G279&lt;50,"40-49",G279&gt;=50,"50+")</f>
        <v>40-49</v>
      </c>
      <c r="AA279" t="str" cm="1">
        <f t="array" ref="AA279">_xlfn.IFS(L279&lt;500000,"Band 1: &lt;5L", L279&lt;1000000,"Band 2: 5-10L", L279&lt;1500000,"Band 3: 10-15L", L279&lt;2000000,"Band 4: 15-20L", L279&gt;=2000000,"Band 5: 20L+")</f>
        <v>Band 4: 15-20L</v>
      </c>
      <c r="AB279" t="str" cm="1">
        <f t="array" ref="AB279">_xlfn.IFS(N279=1,"Poor", N279=2,"Below Average", N279=3,"Average", N279=4,"Good", N279=5,"Excellent")</f>
        <v>Excellent</v>
      </c>
      <c r="AC279" s="14">
        <f t="shared" si="29"/>
        <v>339934.51800000004</v>
      </c>
      <c r="AD279" t="str" cm="1">
        <f t="array" ref="AD279">_xlfn.IFS(K279&lt;2,"Junior (0-2 yrs)", K279&lt;5,"Mid-Level (2-5 yrs)", K279&lt;10,"Senior (5-10 yrs)", K279&gt;=10,"Expert (10+ yrs)")</f>
        <v>Expert (10+ yrs)</v>
      </c>
    </row>
    <row r="280" spans="1:30" x14ac:dyDescent="0.3">
      <c r="A280" s="1" t="s">
        <v>2152</v>
      </c>
      <c r="B280" s="1" t="s">
        <v>2153</v>
      </c>
      <c r="C280" s="1" t="s">
        <v>58</v>
      </c>
      <c r="D280" s="1" t="s">
        <v>111</v>
      </c>
      <c r="E280" s="1" t="s">
        <v>48</v>
      </c>
      <c r="F280" s="1" t="s">
        <v>37</v>
      </c>
      <c r="G280" s="1">
        <v>28</v>
      </c>
      <c r="H280" s="1" t="s">
        <v>62</v>
      </c>
      <c r="I280" s="1" t="s">
        <v>39</v>
      </c>
      <c r="J280" s="5">
        <v>41153</v>
      </c>
      <c r="K280" s="8">
        <v>21.6</v>
      </c>
      <c r="L280" s="11">
        <v>358654</v>
      </c>
      <c r="M280" s="12">
        <v>0.16839999999999999</v>
      </c>
      <c r="N280" s="7">
        <v>2</v>
      </c>
      <c r="O280" s="1" t="s">
        <v>76</v>
      </c>
      <c r="P280" s="1">
        <v>9038887576</v>
      </c>
      <c r="Q280" s="1" t="s">
        <v>2806</v>
      </c>
      <c r="R280" s="10">
        <v>45</v>
      </c>
      <c r="S280" s="10">
        <v>54</v>
      </c>
      <c r="T280" s="1" t="s">
        <v>201</v>
      </c>
      <c r="U280" t="str">
        <f t="shared" si="24"/>
        <v>Valid</v>
      </c>
      <c r="V280">
        <f t="shared" si="25"/>
        <v>9</v>
      </c>
      <c r="W280" t="str">
        <f t="shared" si="26"/>
        <v>Sep</v>
      </c>
      <c r="X280">
        <f t="shared" si="27"/>
        <v>2012</v>
      </c>
      <c r="Y280">
        <f t="shared" ca="1" si="28"/>
        <v>13</v>
      </c>
      <c r="Z280" t="str" cm="1">
        <f t="array" ref="Z280">_xlfn.IFS(G280&lt;30,"20-29",G280&lt;40,"30-39",G280&lt;50,"40-49",G280&gt;=50,"50+")</f>
        <v>20-29</v>
      </c>
      <c r="AA280" t="str" cm="1">
        <f t="array" ref="AA280">_xlfn.IFS(L280&lt;500000,"Band 1: &lt;5L", L280&lt;1000000,"Band 2: 5-10L", L280&lt;1500000,"Band 3: 10-15L", L280&lt;2000000,"Band 4: 15-20L", L280&gt;=2000000,"Band 5: 20L+")</f>
        <v>Band 1: &lt;5L</v>
      </c>
      <c r="AB280" t="str" cm="1">
        <f t="array" ref="AB280">_xlfn.IFS(N280=1,"Poor", N280=2,"Below Average", N280=3,"Average", N280=4,"Good", N280=5,"Excellent")</f>
        <v>Below Average</v>
      </c>
      <c r="AC280" s="14">
        <f t="shared" si="29"/>
        <v>60397.333599999998</v>
      </c>
      <c r="AD280" t="str" cm="1">
        <f t="array" ref="AD280">_xlfn.IFS(K280&lt;2,"Junior (0-2 yrs)", K280&lt;5,"Mid-Level (2-5 yrs)", K280&lt;10,"Senior (5-10 yrs)", K280&gt;=10,"Expert (10+ yrs)")</f>
        <v>Expert (10+ yrs)</v>
      </c>
    </row>
    <row r="281" spans="1:30" x14ac:dyDescent="0.3">
      <c r="A281" s="1" t="s">
        <v>2157</v>
      </c>
      <c r="B281" s="1" t="s">
        <v>2158</v>
      </c>
      <c r="C281" s="1" t="s">
        <v>69</v>
      </c>
      <c r="D281" s="1" t="s">
        <v>101</v>
      </c>
      <c r="E281" s="1" t="s">
        <v>60</v>
      </c>
      <c r="F281" s="1" t="s">
        <v>37</v>
      </c>
      <c r="G281" s="1">
        <v>48</v>
      </c>
      <c r="H281" s="1" t="s">
        <v>73</v>
      </c>
      <c r="I281" s="1" t="s">
        <v>39</v>
      </c>
      <c r="J281" s="5">
        <v>44035</v>
      </c>
      <c r="K281" s="8">
        <v>16.600000000000001</v>
      </c>
      <c r="L281" s="11">
        <v>591825</v>
      </c>
      <c r="M281" s="12">
        <v>1.41E-2</v>
      </c>
      <c r="N281" s="7">
        <v>2</v>
      </c>
      <c r="O281" s="1" t="s">
        <v>41</v>
      </c>
      <c r="P281" s="1">
        <v>7683159457</v>
      </c>
      <c r="Q281" s="1" t="s">
        <v>2550</v>
      </c>
      <c r="R281" s="10">
        <v>3</v>
      </c>
      <c r="S281" s="10">
        <v>107</v>
      </c>
      <c r="T281" s="1" t="s">
        <v>172</v>
      </c>
      <c r="U281" t="str">
        <f t="shared" si="24"/>
        <v>Invalid</v>
      </c>
      <c r="V281">
        <f t="shared" si="25"/>
        <v>7</v>
      </c>
      <c r="W281" t="str">
        <f t="shared" si="26"/>
        <v>Jul</v>
      </c>
      <c r="X281">
        <f t="shared" si="27"/>
        <v>2020</v>
      </c>
      <c r="Y281">
        <f t="shared" ca="1" si="28"/>
        <v>5</v>
      </c>
      <c r="Z281" t="str" cm="1">
        <f t="array" ref="Z281">_xlfn.IFS(G281&lt;30,"20-29",G281&lt;40,"30-39",G281&lt;50,"40-49",G281&gt;=50,"50+")</f>
        <v>40-49</v>
      </c>
      <c r="AA281" t="str" cm="1">
        <f t="array" ref="AA281">_xlfn.IFS(L281&lt;500000,"Band 1: &lt;5L", L281&lt;1000000,"Band 2: 5-10L", L281&lt;1500000,"Band 3: 10-15L", L281&lt;2000000,"Band 4: 15-20L", L281&gt;=2000000,"Band 5: 20L+")</f>
        <v>Band 2: 5-10L</v>
      </c>
      <c r="AB281" t="str" cm="1">
        <f t="array" ref="AB281">_xlfn.IFS(N281=1,"Poor", N281=2,"Below Average", N281=3,"Average", N281=4,"Good", N281=5,"Excellent")</f>
        <v>Below Average</v>
      </c>
      <c r="AC281" s="14">
        <f t="shared" si="29"/>
        <v>8344.7325000000001</v>
      </c>
      <c r="AD281" t="str" cm="1">
        <f t="array" ref="AD281">_xlfn.IFS(K281&lt;2,"Junior (0-2 yrs)", K281&lt;5,"Mid-Level (2-5 yrs)", K281&lt;10,"Senior (5-10 yrs)", K281&gt;=10,"Expert (10+ yrs)")</f>
        <v>Expert (10+ yrs)</v>
      </c>
    </row>
    <row r="282" spans="1:30" x14ac:dyDescent="0.3">
      <c r="A282" s="1" t="s">
        <v>2168</v>
      </c>
      <c r="B282" s="1" t="s">
        <v>2169</v>
      </c>
      <c r="C282" s="1" t="s">
        <v>124</v>
      </c>
      <c r="D282" s="1" t="s">
        <v>231</v>
      </c>
      <c r="E282" s="1" t="s">
        <v>60</v>
      </c>
      <c r="F282" s="1" t="s">
        <v>37</v>
      </c>
      <c r="G282" s="1">
        <v>51</v>
      </c>
      <c r="H282" s="1" t="s">
        <v>103</v>
      </c>
      <c r="I282" s="1" t="s">
        <v>27</v>
      </c>
      <c r="J282" s="5">
        <v>41498</v>
      </c>
      <c r="K282" s="8">
        <v>9.5</v>
      </c>
      <c r="L282" s="11">
        <v>853456</v>
      </c>
      <c r="M282" s="12">
        <v>0.17800000000000002</v>
      </c>
      <c r="N282" s="7">
        <v>1</v>
      </c>
      <c r="O282" s="1" t="s">
        <v>41</v>
      </c>
      <c r="P282" s="1">
        <v>8958189548</v>
      </c>
      <c r="Q282" s="1" t="s">
        <v>2551</v>
      </c>
      <c r="R282" s="10">
        <v>22</v>
      </c>
      <c r="S282" s="10">
        <v>88</v>
      </c>
      <c r="T282" s="1" t="s">
        <v>933</v>
      </c>
      <c r="U282" t="str">
        <f t="shared" si="24"/>
        <v>Invalid</v>
      </c>
      <c r="V282">
        <f t="shared" si="25"/>
        <v>8</v>
      </c>
      <c r="W282" t="str">
        <f t="shared" si="26"/>
        <v>Aug</v>
      </c>
      <c r="X282">
        <f t="shared" si="27"/>
        <v>2013</v>
      </c>
      <c r="Y282">
        <f t="shared" ca="1" si="28"/>
        <v>12</v>
      </c>
      <c r="Z282" t="str" cm="1">
        <f t="array" ref="Z282">_xlfn.IFS(G282&lt;30,"20-29",G282&lt;40,"30-39",G282&lt;50,"40-49",G282&gt;=50,"50+")</f>
        <v>50+</v>
      </c>
      <c r="AA282" t="str" cm="1">
        <f t="array" ref="AA282">_xlfn.IFS(L282&lt;500000,"Band 1: &lt;5L", L282&lt;1000000,"Band 2: 5-10L", L282&lt;1500000,"Band 3: 10-15L", L282&lt;2000000,"Band 4: 15-20L", L282&gt;=2000000,"Band 5: 20L+")</f>
        <v>Band 2: 5-10L</v>
      </c>
      <c r="AB282" t="str" cm="1">
        <f t="array" ref="AB282">_xlfn.IFS(N282=1,"Poor", N282=2,"Below Average", N282=3,"Average", N282=4,"Good", N282=5,"Excellent")</f>
        <v>Poor</v>
      </c>
      <c r="AC282" s="14">
        <f t="shared" si="29"/>
        <v>151915.16800000001</v>
      </c>
      <c r="AD282" t="str" cm="1">
        <f t="array" ref="AD282">_xlfn.IFS(K282&lt;2,"Junior (0-2 yrs)", K282&lt;5,"Mid-Level (2-5 yrs)", K282&lt;10,"Senior (5-10 yrs)", K282&gt;=10,"Expert (10+ yrs)")</f>
        <v>Senior (5-10 yrs)</v>
      </c>
    </row>
    <row r="283" spans="1:30" x14ac:dyDescent="0.3">
      <c r="A283" s="1" t="s">
        <v>2173</v>
      </c>
      <c r="B283" s="1" t="s">
        <v>2174</v>
      </c>
      <c r="C283" s="1" t="s">
        <v>46</v>
      </c>
      <c r="D283" s="1" t="s">
        <v>23</v>
      </c>
      <c r="E283" s="1" t="s">
        <v>189</v>
      </c>
      <c r="F283" s="1" t="s">
        <v>37</v>
      </c>
      <c r="G283" s="1">
        <v>53</v>
      </c>
      <c r="H283" s="1" t="s">
        <v>26</v>
      </c>
      <c r="I283" s="1" t="s">
        <v>74</v>
      </c>
      <c r="J283" s="5">
        <v>42690</v>
      </c>
      <c r="K283" s="8">
        <v>12.9</v>
      </c>
      <c r="L283" s="11">
        <v>1462206</v>
      </c>
      <c r="M283" s="12">
        <v>0.20030000000000001</v>
      </c>
      <c r="N283" s="7">
        <v>4</v>
      </c>
      <c r="O283" s="1" t="s">
        <v>41</v>
      </c>
      <c r="P283" s="1">
        <v>7513011414</v>
      </c>
      <c r="Q283" s="1" t="s">
        <v>2807</v>
      </c>
      <c r="R283" s="10">
        <v>8</v>
      </c>
      <c r="S283" s="10">
        <v>70</v>
      </c>
      <c r="T283" s="1" t="s">
        <v>722</v>
      </c>
      <c r="U283" t="str">
        <f t="shared" si="24"/>
        <v>Valid</v>
      </c>
      <c r="V283">
        <f t="shared" si="25"/>
        <v>11</v>
      </c>
      <c r="W283" t="str">
        <f t="shared" si="26"/>
        <v>Nov</v>
      </c>
      <c r="X283">
        <f t="shared" si="27"/>
        <v>2016</v>
      </c>
      <c r="Y283">
        <f t="shared" ca="1" si="28"/>
        <v>9</v>
      </c>
      <c r="Z283" t="str" cm="1">
        <f t="array" ref="Z283">_xlfn.IFS(G283&lt;30,"20-29",G283&lt;40,"30-39",G283&lt;50,"40-49",G283&gt;=50,"50+")</f>
        <v>50+</v>
      </c>
      <c r="AA283" t="str" cm="1">
        <f t="array" ref="AA283">_xlfn.IFS(L283&lt;500000,"Band 1: &lt;5L", L283&lt;1000000,"Band 2: 5-10L", L283&lt;1500000,"Band 3: 10-15L", L283&lt;2000000,"Band 4: 15-20L", L283&gt;=2000000,"Band 5: 20L+")</f>
        <v>Band 3: 10-15L</v>
      </c>
      <c r="AB283" t="str" cm="1">
        <f t="array" ref="AB283">_xlfn.IFS(N283=1,"Poor", N283=2,"Below Average", N283=3,"Average", N283=4,"Good", N283=5,"Excellent")</f>
        <v>Good</v>
      </c>
      <c r="AC283" s="14">
        <f t="shared" si="29"/>
        <v>292879.86180000001</v>
      </c>
      <c r="AD283" t="str" cm="1">
        <f t="array" ref="AD283">_xlfn.IFS(K283&lt;2,"Junior (0-2 yrs)", K283&lt;5,"Mid-Level (2-5 yrs)", K283&lt;10,"Senior (5-10 yrs)", K283&gt;=10,"Expert (10+ yrs)")</f>
        <v>Expert (10+ yrs)</v>
      </c>
    </row>
    <row r="284" spans="1:30" x14ac:dyDescent="0.3">
      <c r="A284" s="1" t="s">
        <v>2183</v>
      </c>
      <c r="B284" s="1" t="s">
        <v>2184</v>
      </c>
      <c r="C284" s="1" t="s">
        <v>110</v>
      </c>
      <c r="D284" s="1" t="s">
        <v>23</v>
      </c>
      <c r="E284" s="1" t="s">
        <v>24</v>
      </c>
      <c r="F284" s="1" t="s">
        <v>37</v>
      </c>
      <c r="G284" s="1">
        <v>41</v>
      </c>
      <c r="H284" s="1" t="s">
        <v>26</v>
      </c>
      <c r="I284" s="1" t="s">
        <v>51</v>
      </c>
      <c r="J284" s="5">
        <v>45456</v>
      </c>
      <c r="K284" s="8">
        <v>3.6</v>
      </c>
      <c r="L284" s="11">
        <v>945918</v>
      </c>
      <c r="M284" s="12">
        <v>7.6799999999999993E-2</v>
      </c>
      <c r="N284" s="7">
        <v>5</v>
      </c>
      <c r="O284" s="1" t="s">
        <v>76</v>
      </c>
      <c r="P284" s="1">
        <v>7807254039</v>
      </c>
      <c r="Q284" s="1" t="s">
        <v>2808</v>
      </c>
      <c r="R284" s="10">
        <v>13</v>
      </c>
      <c r="S284" s="10">
        <v>112</v>
      </c>
      <c r="T284" s="1" t="s">
        <v>573</v>
      </c>
      <c r="U284" t="str">
        <f t="shared" si="24"/>
        <v>Invalid</v>
      </c>
      <c r="V284">
        <f t="shared" si="25"/>
        <v>6</v>
      </c>
      <c r="W284" t="str">
        <f t="shared" si="26"/>
        <v>Jun</v>
      </c>
      <c r="X284">
        <f t="shared" si="27"/>
        <v>2024</v>
      </c>
      <c r="Y284">
        <f t="shared" ca="1" si="28"/>
        <v>1</v>
      </c>
      <c r="Z284" t="str" cm="1">
        <f t="array" ref="Z284">_xlfn.IFS(G284&lt;30,"20-29",G284&lt;40,"30-39",G284&lt;50,"40-49",G284&gt;=50,"50+")</f>
        <v>40-49</v>
      </c>
      <c r="AA284" t="str" cm="1">
        <f t="array" ref="AA284">_xlfn.IFS(L284&lt;500000,"Band 1: &lt;5L", L284&lt;1000000,"Band 2: 5-10L", L284&lt;1500000,"Band 3: 10-15L", L284&lt;2000000,"Band 4: 15-20L", L284&gt;=2000000,"Band 5: 20L+")</f>
        <v>Band 2: 5-10L</v>
      </c>
      <c r="AB284" t="str" cm="1">
        <f t="array" ref="AB284">_xlfn.IFS(N284=1,"Poor", N284=2,"Below Average", N284=3,"Average", N284=4,"Good", N284=5,"Excellent")</f>
        <v>Excellent</v>
      </c>
      <c r="AC284" s="14">
        <f t="shared" si="29"/>
        <v>72646.502399999998</v>
      </c>
      <c r="AD284" t="str" cm="1">
        <f t="array" ref="AD284">_xlfn.IFS(K284&lt;2,"Junior (0-2 yrs)", K284&lt;5,"Mid-Level (2-5 yrs)", K284&lt;10,"Senior (5-10 yrs)", K284&gt;=10,"Expert (10+ yrs)")</f>
        <v>Mid-Level (2-5 yrs)</v>
      </c>
    </row>
    <row r="285" spans="1:30" x14ac:dyDescent="0.3">
      <c r="A285" s="1" t="s">
        <v>2188</v>
      </c>
      <c r="B285" s="1" t="s">
        <v>2189</v>
      </c>
      <c r="C285" s="1" t="s">
        <v>46</v>
      </c>
      <c r="D285" s="1" t="s">
        <v>23</v>
      </c>
      <c r="E285" s="1" t="s">
        <v>71</v>
      </c>
      <c r="F285" s="1" t="s">
        <v>93</v>
      </c>
      <c r="G285" s="1">
        <v>33</v>
      </c>
      <c r="H285" s="1" t="s">
        <v>204</v>
      </c>
      <c r="I285" s="1" t="s">
        <v>39</v>
      </c>
      <c r="J285" s="5">
        <v>43035</v>
      </c>
      <c r="K285" s="8">
        <v>5.9</v>
      </c>
      <c r="L285" s="11">
        <v>863429</v>
      </c>
      <c r="M285" s="12">
        <v>0.22820000000000001</v>
      </c>
      <c r="N285" s="7">
        <v>4</v>
      </c>
      <c r="O285" s="1" t="s">
        <v>41</v>
      </c>
      <c r="P285" s="1">
        <v>7824139082</v>
      </c>
      <c r="Q285" s="1" t="s">
        <v>2809</v>
      </c>
      <c r="R285" s="10">
        <v>21</v>
      </c>
      <c r="S285" s="10">
        <v>10</v>
      </c>
      <c r="T285" s="1" t="s">
        <v>1317</v>
      </c>
      <c r="U285" t="str">
        <f t="shared" si="24"/>
        <v>Valid</v>
      </c>
      <c r="V285">
        <f t="shared" si="25"/>
        <v>10</v>
      </c>
      <c r="W285" t="str">
        <f t="shared" si="26"/>
        <v>Oct</v>
      </c>
      <c r="X285">
        <f t="shared" si="27"/>
        <v>2017</v>
      </c>
      <c r="Y285">
        <f t="shared" ca="1" si="28"/>
        <v>8</v>
      </c>
      <c r="Z285" t="str" cm="1">
        <f t="array" ref="Z285">_xlfn.IFS(G285&lt;30,"20-29",G285&lt;40,"30-39",G285&lt;50,"40-49",G285&gt;=50,"50+")</f>
        <v>30-39</v>
      </c>
      <c r="AA285" t="str" cm="1">
        <f t="array" ref="AA285">_xlfn.IFS(L285&lt;500000,"Band 1: &lt;5L", L285&lt;1000000,"Band 2: 5-10L", L285&lt;1500000,"Band 3: 10-15L", L285&lt;2000000,"Band 4: 15-20L", L285&gt;=2000000,"Band 5: 20L+")</f>
        <v>Band 2: 5-10L</v>
      </c>
      <c r="AB285" t="str" cm="1">
        <f t="array" ref="AB285">_xlfn.IFS(N285=1,"Poor", N285=2,"Below Average", N285=3,"Average", N285=4,"Good", N285=5,"Excellent")</f>
        <v>Good</v>
      </c>
      <c r="AC285" s="14">
        <f t="shared" si="29"/>
        <v>197034.49780000001</v>
      </c>
      <c r="AD285" t="str" cm="1">
        <f t="array" ref="AD285">_xlfn.IFS(K285&lt;2,"Junior (0-2 yrs)", K285&lt;5,"Mid-Level (2-5 yrs)", K285&lt;10,"Senior (5-10 yrs)", K285&gt;=10,"Expert (10+ yrs)")</f>
        <v>Senior (5-10 yrs)</v>
      </c>
    </row>
    <row r="286" spans="1:30" x14ac:dyDescent="0.3">
      <c r="A286" s="1" t="s">
        <v>2193</v>
      </c>
      <c r="B286" s="1" t="s">
        <v>2194</v>
      </c>
      <c r="C286" s="1" t="s">
        <v>124</v>
      </c>
      <c r="D286" s="1" t="s">
        <v>23</v>
      </c>
      <c r="E286" s="1" t="s">
        <v>92</v>
      </c>
      <c r="F286" s="1" t="s">
        <v>37</v>
      </c>
      <c r="G286" s="1">
        <v>50</v>
      </c>
      <c r="H286" s="1" t="s">
        <v>26</v>
      </c>
      <c r="I286" s="1" t="s">
        <v>74</v>
      </c>
      <c r="J286" s="5">
        <v>42183</v>
      </c>
      <c r="K286" s="8">
        <v>5.5</v>
      </c>
      <c r="L286" s="11">
        <v>850616</v>
      </c>
      <c r="M286" s="12">
        <v>0.1477</v>
      </c>
      <c r="N286" s="7">
        <v>4</v>
      </c>
      <c r="O286" s="1" t="s">
        <v>76</v>
      </c>
      <c r="P286" s="1">
        <v>8910594463</v>
      </c>
      <c r="Q286" s="1" t="s">
        <v>2810</v>
      </c>
      <c r="R286" s="10">
        <v>72</v>
      </c>
      <c r="S286" s="10">
        <v>81</v>
      </c>
      <c r="T286" s="1" t="s">
        <v>677</v>
      </c>
      <c r="U286" t="str">
        <f t="shared" si="24"/>
        <v>Valid</v>
      </c>
      <c r="V286">
        <f t="shared" si="25"/>
        <v>6</v>
      </c>
      <c r="W286" t="str">
        <f t="shared" si="26"/>
        <v>Jun</v>
      </c>
      <c r="X286">
        <f t="shared" si="27"/>
        <v>2015</v>
      </c>
      <c r="Y286">
        <f t="shared" ca="1" si="28"/>
        <v>10</v>
      </c>
      <c r="Z286" t="str" cm="1">
        <f t="array" ref="Z286">_xlfn.IFS(G286&lt;30,"20-29",G286&lt;40,"30-39",G286&lt;50,"40-49",G286&gt;=50,"50+")</f>
        <v>50+</v>
      </c>
      <c r="AA286" t="str" cm="1">
        <f t="array" ref="AA286">_xlfn.IFS(L286&lt;500000,"Band 1: &lt;5L", L286&lt;1000000,"Band 2: 5-10L", L286&lt;1500000,"Band 3: 10-15L", L286&lt;2000000,"Band 4: 15-20L", L286&gt;=2000000,"Band 5: 20L+")</f>
        <v>Band 2: 5-10L</v>
      </c>
      <c r="AB286" t="str" cm="1">
        <f t="array" ref="AB286">_xlfn.IFS(N286=1,"Poor", N286=2,"Below Average", N286=3,"Average", N286=4,"Good", N286=5,"Excellent")</f>
        <v>Good</v>
      </c>
      <c r="AC286" s="14">
        <f t="shared" si="29"/>
        <v>125635.9832</v>
      </c>
      <c r="AD286" t="str" cm="1">
        <f t="array" ref="AD286">_xlfn.IFS(K286&lt;2,"Junior (0-2 yrs)", K286&lt;5,"Mid-Level (2-5 yrs)", K286&lt;10,"Senior (5-10 yrs)", K286&gt;=10,"Expert (10+ yrs)")</f>
        <v>Senior (5-10 yrs)</v>
      </c>
    </row>
    <row r="287" spans="1:30" x14ac:dyDescent="0.3">
      <c r="A287" s="1" t="s">
        <v>2198</v>
      </c>
      <c r="B287" s="1" t="s">
        <v>2199</v>
      </c>
      <c r="C287" s="1" t="s">
        <v>46</v>
      </c>
      <c r="D287" s="1" t="s">
        <v>244</v>
      </c>
      <c r="E287" s="1" t="s">
        <v>155</v>
      </c>
      <c r="F287" s="1" t="s">
        <v>93</v>
      </c>
      <c r="G287" s="1">
        <v>56</v>
      </c>
      <c r="H287" s="1" t="s">
        <v>38</v>
      </c>
      <c r="I287" s="1" t="s">
        <v>74</v>
      </c>
      <c r="J287" s="5">
        <v>42633</v>
      </c>
      <c r="K287" s="8">
        <v>14.2</v>
      </c>
      <c r="L287" s="11">
        <v>1036936</v>
      </c>
      <c r="M287" s="12">
        <v>0.1229</v>
      </c>
      <c r="N287" s="7">
        <v>3</v>
      </c>
      <c r="O287" s="1" t="s">
        <v>41</v>
      </c>
      <c r="P287" s="1">
        <v>7840592753</v>
      </c>
      <c r="Q287" s="1" t="s">
        <v>2811</v>
      </c>
      <c r="R287" s="10">
        <v>50</v>
      </c>
      <c r="S287" s="10">
        <v>47</v>
      </c>
      <c r="T287" s="1" t="s">
        <v>2203</v>
      </c>
      <c r="U287" t="str">
        <f t="shared" si="24"/>
        <v>Invalid</v>
      </c>
      <c r="V287">
        <f t="shared" si="25"/>
        <v>9</v>
      </c>
      <c r="W287" t="str">
        <f t="shared" si="26"/>
        <v>Sep</v>
      </c>
      <c r="X287">
        <f t="shared" si="27"/>
        <v>2016</v>
      </c>
      <c r="Y287">
        <f t="shared" ca="1" si="28"/>
        <v>9</v>
      </c>
      <c r="Z287" t="str" cm="1">
        <f t="array" ref="Z287">_xlfn.IFS(G287&lt;30,"20-29",G287&lt;40,"30-39",G287&lt;50,"40-49",G287&gt;=50,"50+")</f>
        <v>50+</v>
      </c>
      <c r="AA287" t="str" cm="1">
        <f t="array" ref="AA287">_xlfn.IFS(L287&lt;500000,"Band 1: &lt;5L", L287&lt;1000000,"Band 2: 5-10L", L287&lt;1500000,"Band 3: 10-15L", L287&lt;2000000,"Band 4: 15-20L", L287&gt;=2000000,"Band 5: 20L+")</f>
        <v>Band 3: 10-15L</v>
      </c>
      <c r="AB287" t="str" cm="1">
        <f t="array" ref="AB287">_xlfn.IFS(N287=1,"Poor", N287=2,"Below Average", N287=3,"Average", N287=4,"Good", N287=5,"Excellent")</f>
        <v>Average</v>
      </c>
      <c r="AC287" s="14">
        <f t="shared" si="29"/>
        <v>127439.4344</v>
      </c>
      <c r="AD287" t="str" cm="1">
        <f t="array" ref="AD287">_xlfn.IFS(K287&lt;2,"Junior (0-2 yrs)", K287&lt;5,"Mid-Level (2-5 yrs)", K287&lt;10,"Senior (5-10 yrs)", K287&gt;=10,"Expert (10+ yrs)")</f>
        <v>Expert (10+ yrs)</v>
      </c>
    </row>
    <row r="288" spans="1:30" x14ac:dyDescent="0.3">
      <c r="A288" s="1" t="s">
        <v>2204</v>
      </c>
      <c r="B288" s="1" t="s">
        <v>2205</v>
      </c>
      <c r="C288" s="1" t="s">
        <v>110</v>
      </c>
      <c r="D288" s="1" t="s">
        <v>111</v>
      </c>
      <c r="E288" s="1" t="s">
        <v>189</v>
      </c>
      <c r="F288" s="1" t="s">
        <v>37</v>
      </c>
      <c r="G288" s="1">
        <v>54</v>
      </c>
      <c r="H288" s="1" t="s">
        <v>84</v>
      </c>
      <c r="I288" s="1" t="s">
        <v>27</v>
      </c>
      <c r="J288" s="5">
        <v>41306</v>
      </c>
      <c r="K288" s="8">
        <v>9.5</v>
      </c>
      <c r="L288" s="11">
        <v>1769087</v>
      </c>
      <c r="M288" s="12">
        <v>1.3000000000000001E-2</v>
      </c>
      <c r="N288" s="7">
        <v>4</v>
      </c>
      <c r="O288" s="1" t="s">
        <v>76</v>
      </c>
      <c r="P288" s="1">
        <v>9928915225</v>
      </c>
      <c r="Q288" s="1" t="s">
        <v>2812</v>
      </c>
      <c r="R288" s="10">
        <v>16</v>
      </c>
      <c r="S288" s="10">
        <v>54</v>
      </c>
      <c r="T288" s="1" t="s">
        <v>696</v>
      </c>
      <c r="U288" t="str">
        <f t="shared" si="24"/>
        <v>Valid</v>
      </c>
      <c r="V288">
        <f t="shared" si="25"/>
        <v>2</v>
      </c>
      <c r="W288" t="str">
        <f t="shared" si="26"/>
        <v>Feb</v>
      </c>
      <c r="X288">
        <f t="shared" si="27"/>
        <v>2013</v>
      </c>
      <c r="Y288">
        <f t="shared" ca="1" si="28"/>
        <v>13</v>
      </c>
      <c r="Z288" t="str" cm="1">
        <f t="array" ref="Z288">_xlfn.IFS(G288&lt;30,"20-29",G288&lt;40,"30-39",G288&lt;50,"40-49",G288&gt;=50,"50+")</f>
        <v>50+</v>
      </c>
      <c r="AA288" t="str" cm="1">
        <f t="array" ref="AA288">_xlfn.IFS(L288&lt;500000,"Band 1: &lt;5L", L288&lt;1000000,"Band 2: 5-10L", L288&lt;1500000,"Band 3: 10-15L", L288&lt;2000000,"Band 4: 15-20L", L288&gt;=2000000,"Band 5: 20L+")</f>
        <v>Band 4: 15-20L</v>
      </c>
      <c r="AB288" t="str" cm="1">
        <f t="array" ref="AB288">_xlfn.IFS(N288=1,"Poor", N288=2,"Below Average", N288=3,"Average", N288=4,"Good", N288=5,"Excellent")</f>
        <v>Good</v>
      </c>
      <c r="AC288" s="14">
        <f t="shared" si="29"/>
        <v>22998.131000000001</v>
      </c>
      <c r="AD288" t="str" cm="1">
        <f t="array" ref="AD288">_xlfn.IFS(K288&lt;2,"Junior (0-2 yrs)", K288&lt;5,"Mid-Level (2-5 yrs)", K288&lt;10,"Senior (5-10 yrs)", K288&gt;=10,"Expert (10+ yrs)")</f>
        <v>Senior (5-10 yrs)</v>
      </c>
    </row>
    <row r="289" spans="1:30" x14ac:dyDescent="0.3">
      <c r="A289" s="1" t="s">
        <v>2209</v>
      </c>
      <c r="B289" s="1" t="s">
        <v>2210</v>
      </c>
      <c r="C289" s="1" t="s">
        <v>46</v>
      </c>
      <c r="D289" s="1" t="s">
        <v>23</v>
      </c>
      <c r="E289" s="1" t="s">
        <v>189</v>
      </c>
      <c r="F289" s="1" t="s">
        <v>37</v>
      </c>
      <c r="G289" s="1">
        <v>38</v>
      </c>
      <c r="H289" s="1" t="s">
        <v>103</v>
      </c>
      <c r="I289" s="1" t="s">
        <v>39</v>
      </c>
      <c r="J289" s="5">
        <v>42777</v>
      </c>
      <c r="K289" s="8">
        <v>20.7</v>
      </c>
      <c r="L289" s="11">
        <v>990809</v>
      </c>
      <c r="M289" s="12">
        <v>8.7799999999999989E-2</v>
      </c>
      <c r="N289" s="7">
        <v>3</v>
      </c>
      <c r="O289" s="1" t="s">
        <v>76</v>
      </c>
      <c r="P289" s="1">
        <v>9246787705</v>
      </c>
      <c r="Q289" s="1" t="s">
        <v>2552</v>
      </c>
      <c r="R289" s="10">
        <v>13</v>
      </c>
      <c r="S289" s="10">
        <v>82</v>
      </c>
      <c r="T289" s="1" t="s">
        <v>146</v>
      </c>
      <c r="U289" t="str">
        <f t="shared" si="24"/>
        <v>Invalid</v>
      </c>
      <c r="V289">
        <f t="shared" si="25"/>
        <v>2</v>
      </c>
      <c r="W289" t="str">
        <f t="shared" si="26"/>
        <v>Feb</v>
      </c>
      <c r="X289">
        <f t="shared" si="27"/>
        <v>2017</v>
      </c>
      <c r="Y289">
        <f t="shared" ca="1" si="28"/>
        <v>9</v>
      </c>
      <c r="Z289" t="str" cm="1">
        <f t="array" ref="Z289">_xlfn.IFS(G289&lt;30,"20-29",G289&lt;40,"30-39",G289&lt;50,"40-49",G289&gt;=50,"50+")</f>
        <v>30-39</v>
      </c>
      <c r="AA289" t="str" cm="1">
        <f t="array" ref="AA289">_xlfn.IFS(L289&lt;500000,"Band 1: &lt;5L", L289&lt;1000000,"Band 2: 5-10L", L289&lt;1500000,"Band 3: 10-15L", L289&lt;2000000,"Band 4: 15-20L", L289&gt;=2000000,"Band 5: 20L+")</f>
        <v>Band 2: 5-10L</v>
      </c>
      <c r="AB289" t="str" cm="1">
        <f t="array" ref="AB289">_xlfn.IFS(N289=1,"Poor", N289=2,"Below Average", N289=3,"Average", N289=4,"Good", N289=5,"Excellent")</f>
        <v>Average</v>
      </c>
      <c r="AC289" s="14">
        <f t="shared" si="29"/>
        <v>86993.030199999994</v>
      </c>
      <c r="AD289" t="str" cm="1">
        <f t="array" ref="AD289">_xlfn.IFS(K289&lt;2,"Junior (0-2 yrs)", K289&lt;5,"Mid-Level (2-5 yrs)", K289&lt;10,"Senior (5-10 yrs)", K289&gt;=10,"Expert (10+ yrs)")</f>
        <v>Expert (10+ yrs)</v>
      </c>
    </row>
    <row r="290" spans="1:30" x14ac:dyDescent="0.3">
      <c r="A290" s="1" t="s">
        <v>2214</v>
      </c>
      <c r="B290" s="1" t="s">
        <v>2215</v>
      </c>
      <c r="C290" s="1" t="s">
        <v>46</v>
      </c>
      <c r="D290" s="1" t="s">
        <v>23</v>
      </c>
      <c r="E290" s="1" t="s">
        <v>168</v>
      </c>
      <c r="F290" s="1" t="s">
        <v>93</v>
      </c>
      <c r="G290" s="1">
        <v>46</v>
      </c>
      <c r="H290" s="1" t="s">
        <v>38</v>
      </c>
      <c r="I290" s="1" t="s">
        <v>27</v>
      </c>
      <c r="J290" s="5">
        <v>42833</v>
      </c>
      <c r="K290" s="8">
        <v>11.2</v>
      </c>
      <c r="L290" s="11">
        <v>1458510</v>
      </c>
      <c r="M290" s="12">
        <v>0.12119999999999999</v>
      </c>
      <c r="N290" s="7">
        <v>3</v>
      </c>
      <c r="O290" s="1" t="s">
        <v>41</v>
      </c>
      <c r="P290" s="1">
        <v>9072549881</v>
      </c>
      <c r="Q290" s="1" t="s">
        <v>2813</v>
      </c>
      <c r="R290" s="10">
        <v>68</v>
      </c>
      <c r="S290" s="10">
        <v>103</v>
      </c>
      <c r="T290" s="1" t="s">
        <v>152</v>
      </c>
      <c r="U290" t="str">
        <f t="shared" si="24"/>
        <v>Invalid</v>
      </c>
      <c r="V290">
        <f t="shared" si="25"/>
        <v>4</v>
      </c>
      <c r="W290" t="str">
        <f t="shared" si="26"/>
        <v>Apr</v>
      </c>
      <c r="X290">
        <f t="shared" si="27"/>
        <v>2017</v>
      </c>
      <c r="Y290">
        <f t="shared" ca="1" si="28"/>
        <v>8</v>
      </c>
      <c r="Z290" t="str" cm="1">
        <f t="array" ref="Z290">_xlfn.IFS(G290&lt;30,"20-29",G290&lt;40,"30-39",G290&lt;50,"40-49",G290&gt;=50,"50+")</f>
        <v>40-49</v>
      </c>
      <c r="AA290" t="str" cm="1">
        <f t="array" ref="AA290">_xlfn.IFS(L290&lt;500000,"Band 1: &lt;5L", L290&lt;1000000,"Band 2: 5-10L", L290&lt;1500000,"Band 3: 10-15L", L290&lt;2000000,"Band 4: 15-20L", L290&gt;=2000000,"Band 5: 20L+")</f>
        <v>Band 3: 10-15L</v>
      </c>
      <c r="AB290" t="str" cm="1">
        <f t="array" ref="AB290">_xlfn.IFS(N290=1,"Poor", N290=2,"Below Average", N290=3,"Average", N290=4,"Good", N290=5,"Excellent")</f>
        <v>Average</v>
      </c>
      <c r="AC290" s="14">
        <f t="shared" si="29"/>
        <v>176771.41199999998</v>
      </c>
      <c r="AD290" t="str" cm="1">
        <f t="array" ref="AD290">_xlfn.IFS(K290&lt;2,"Junior (0-2 yrs)", K290&lt;5,"Mid-Level (2-5 yrs)", K290&lt;10,"Senior (5-10 yrs)", K290&gt;=10,"Expert (10+ yrs)")</f>
        <v>Expert (10+ yrs)</v>
      </c>
    </row>
    <row r="291" spans="1:30" x14ac:dyDescent="0.3">
      <c r="A291" s="1" t="s">
        <v>2224</v>
      </c>
      <c r="B291" s="1" t="s">
        <v>2225</v>
      </c>
      <c r="C291" s="1" t="s">
        <v>58</v>
      </c>
      <c r="D291" s="1" t="s">
        <v>244</v>
      </c>
      <c r="E291" s="1" t="s">
        <v>290</v>
      </c>
      <c r="F291" s="1" t="s">
        <v>37</v>
      </c>
      <c r="G291" s="1">
        <v>40</v>
      </c>
      <c r="H291" s="1" t="s">
        <v>38</v>
      </c>
      <c r="I291" s="1" t="s">
        <v>51</v>
      </c>
      <c r="J291" s="5">
        <v>41813</v>
      </c>
      <c r="K291" s="8">
        <v>7.9</v>
      </c>
      <c r="L291" s="11">
        <v>741359</v>
      </c>
      <c r="M291" s="12">
        <v>9.3699999999999992E-2</v>
      </c>
      <c r="N291" s="7">
        <v>5</v>
      </c>
      <c r="O291" s="1" t="s">
        <v>41</v>
      </c>
      <c r="P291" s="1">
        <v>8145578899</v>
      </c>
      <c r="Q291" s="1" t="s">
        <v>2814</v>
      </c>
      <c r="R291" s="10">
        <v>4</v>
      </c>
      <c r="S291" s="10">
        <v>102</v>
      </c>
      <c r="T291" s="1" t="s">
        <v>2203</v>
      </c>
      <c r="U291" t="str">
        <f t="shared" si="24"/>
        <v>Invalid</v>
      </c>
      <c r="V291">
        <f t="shared" si="25"/>
        <v>6</v>
      </c>
      <c r="W291" t="str">
        <f t="shared" si="26"/>
        <v>Jun</v>
      </c>
      <c r="X291">
        <f t="shared" si="27"/>
        <v>2014</v>
      </c>
      <c r="Y291">
        <f t="shared" ca="1" si="28"/>
        <v>11</v>
      </c>
      <c r="Z291" t="str" cm="1">
        <f t="array" ref="Z291">_xlfn.IFS(G291&lt;30,"20-29",G291&lt;40,"30-39",G291&lt;50,"40-49",G291&gt;=50,"50+")</f>
        <v>40-49</v>
      </c>
      <c r="AA291" t="str" cm="1">
        <f t="array" ref="AA291">_xlfn.IFS(L291&lt;500000,"Band 1: &lt;5L", L291&lt;1000000,"Band 2: 5-10L", L291&lt;1500000,"Band 3: 10-15L", L291&lt;2000000,"Band 4: 15-20L", L291&gt;=2000000,"Band 5: 20L+")</f>
        <v>Band 2: 5-10L</v>
      </c>
      <c r="AB291" t="str" cm="1">
        <f t="array" ref="AB291">_xlfn.IFS(N291=1,"Poor", N291=2,"Below Average", N291=3,"Average", N291=4,"Good", N291=5,"Excellent")</f>
        <v>Excellent</v>
      </c>
      <c r="AC291" s="14">
        <f t="shared" si="29"/>
        <v>69465.338299999989</v>
      </c>
      <c r="AD291" t="str" cm="1">
        <f t="array" ref="AD291">_xlfn.IFS(K291&lt;2,"Junior (0-2 yrs)", K291&lt;5,"Mid-Level (2-5 yrs)", K291&lt;10,"Senior (5-10 yrs)", K291&gt;=10,"Expert (10+ yrs)")</f>
        <v>Senior (5-10 yrs)</v>
      </c>
    </row>
    <row r="292" spans="1:30" x14ac:dyDescent="0.3">
      <c r="A292" s="1" t="s">
        <v>2229</v>
      </c>
      <c r="B292" s="1" t="s">
        <v>2230</v>
      </c>
      <c r="C292" s="1" t="s">
        <v>46</v>
      </c>
      <c r="D292" s="1" t="s">
        <v>23</v>
      </c>
      <c r="E292" s="1" t="s">
        <v>36</v>
      </c>
      <c r="F292" s="1" t="s">
        <v>93</v>
      </c>
      <c r="G292" s="1">
        <v>45</v>
      </c>
      <c r="H292" s="1" t="s">
        <v>38</v>
      </c>
      <c r="I292" s="1" t="s">
        <v>39</v>
      </c>
      <c r="J292" s="5">
        <v>41841</v>
      </c>
      <c r="K292" s="8">
        <v>22.4</v>
      </c>
      <c r="L292" s="11">
        <v>1100212</v>
      </c>
      <c r="M292" s="12">
        <v>0.15920000000000001</v>
      </c>
      <c r="N292" s="7">
        <v>2</v>
      </c>
      <c r="O292" s="1" t="s">
        <v>41</v>
      </c>
      <c r="P292" s="1">
        <v>8962489290</v>
      </c>
      <c r="Q292" s="1" t="s">
        <v>2815</v>
      </c>
      <c r="R292" s="10">
        <v>3</v>
      </c>
      <c r="S292" s="10">
        <v>119</v>
      </c>
      <c r="T292" s="1" t="s">
        <v>66</v>
      </c>
      <c r="U292" t="str">
        <f t="shared" si="24"/>
        <v>Invalid</v>
      </c>
      <c r="V292">
        <f t="shared" si="25"/>
        <v>7</v>
      </c>
      <c r="W292" t="str">
        <f t="shared" si="26"/>
        <v>Jul</v>
      </c>
      <c r="X292">
        <f t="shared" si="27"/>
        <v>2014</v>
      </c>
      <c r="Y292">
        <f t="shared" ca="1" si="28"/>
        <v>11</v>
      </c>
      <c r="Z292" t="str" cm="1">
        <f t="array" ref="Z292">_xlfn.IFS(G292&lt;30,"20-29",G292&lt;40,"30-39",G292&lt;50,"40-49",G292&gt;=50,"50+")</f>
        <v>40-49</v>
      </c>
      <c r="AA292" t="str" cm="1">
        <f t="array" ref="AA292">_xlfn.IFS(L292&lt;500000,"Band 1: &lt;5L", L292&lt;1000000,"Band 2: 5-10L", L292&lt;1500000,"Band 3: 10-15L", L292&lt;2000000,"Band 4: 15-20L", L292&gt;=2000000,"Band 5: 20L+")</f>
        <v>Band 3: 10-15L</v>
      </c>
      <c r="AB292" t="str" cm="1">
        <f t="array" ref="AB292">_xlfn.IFS(N292=1,"Poor", N292=2,"Below Average", N292=3,"Average", N292=4,"Good", N292=5,"Excellent")</f>
        <v>Below Average</v>
      </c>
      <c r="AC292" s="14">
        <f t="shared" si="29"/>
        <v>175153.75040000002</v>
      </c>
      <c r="AD292" t="str" cm="1">
        <f t="array" ref="AD292">_xlfn.IFS(K292&lt;2,"Junior (0-2 yrs)", K292&lt;5,"Mid-Level (2-5 yrs)", K292&lt;10,"Senior (5-10 yrs)", K292&gt;=10,"Expert (10+ yrs)")</f>
        <v>Expert (10+ yrs)</v>
      </c>
    </row>
    <row r="293" spans="1:30" x14ac:dyDescent="0.3">
      <c r="A293" s="1" t="s">
        <v>2234</v>
      </c>
      <c r="B293" s="1" t="s">
        <v>2235</v>
      </c>
      <c r="C293" s="1" t="s">
        <v>46</v>
      </c>
      <c r="D293" s="1" t="s">
        <v>111</v>
      </c>
      <c r="E293" s="1" t="s">
        <v>290</v>
      </c>
      <c r="F293" s="1" t="s">
        <v>37</v>
      </c>
      <c r="G293" s="1">
        <v>44</v>
      </c>
      <c r="H293" s="1" t="s">
        <v>103</v>
      </c>
      <c r="I293" s="1" t="s">
        <v>74</v>
      </c>
      <c r="J293" s="5">
        <v>45451</v>
      </c>
      <c r="K293" s="8">
        <v>27</v>
      </c>
      <c r="L293" s="11">
        <v>2208342</v>
      </c>
      <c r="M293" s="12">
        <v>0.1079</v>
      </c>
      <c r="N293" s="7">
        <v>3</v>
      </c>
      <c r="O293" s="1" t="s">
        <v>76</v>
      </c>
      <c r="P293" s="1">
        <v>8104712613</v>
      </c>
      <c r="Q293" s="1" t="s">
        <v>2553</v>
      </c>
      <c r="R293" s="10">
        <v>5</v>
      </c>
      <c r="S293" s="10">
        <v>90</v>
      </c>
      <c r="T293" s="1" t="s">
        <v>1071</v>
      </c>
      <c r="U293" t="str">
        <f t="shared" si="24"/>
        <v>Invalid</v>
      </c>
      <c r="V293">
        <f t="shared" si="25"/>
        <v>6</v>
      </c>
      <c r="W293" t="str">
        <f t="shared" si="26"/>
        <v>Jun</v>
      </c>
      <c r="X293">
        <f t="shared" si="27"/>
        <v>2024</v>
      </c>
      <c r="Y293">
        <f t="shared" ca="1" si="28"/>
        <v>1</v>
      </c>
      <c r="Z293" t="str" cm="1">
        <f t="array" ref="Z293">_xlfn.IFS(G293&lt;30,"20-29",G293&lt;40,"30-39",G293&lt;50,"40-49",G293&gt;=50,"50+")</f>
        <v>40-49</v>
      </c>
      <c r="AA293" t="str" cm="1">
        <f t="array" ref="AA293">_xlfn.IFS(L293&lt;500000,"Band 1: &lt;5L", L293&lt;1000000,"Band 2: 5-10L", L293&lt;1500000,"Band 3: 10-15L", L293&lt;2000000,"Band 4: 15-20L", L293&gt;=2000000,"Band 5: 20L+")</f>
        <v>Band 5: 20L+</v>
      </c>
      <c r="AB293" t="str" cm="1">
        <f t="array" ref="AB293">_xlfn.IFS(N293=1,"Poor", N293=2,"Below Average", N293=3,"Average", N293=4,"Good", N293=5,"Excellent")</f>
        <v>Average</v>
      </c>
      <c r="AC293" s="14">
        <f t="shared" si="29"/>
        <v>238280.1018</v>
      </c>
      <c r="AD293" t="str" cm="1">
        <f t="array" ref="AD293">_xlfn.IFS(K293&lt;2,"Junior (0-2 yrs)", K293&lt;5,"Mid-Level (2-5 yrs)", K293&lt;10,"Senior (5-10 yrs)", K293&gt;=10,"Expert (10+ yrs)")</f>
        <v>Expert (10+ yrs)</v>
      </c>
    </row>
    <row r="294" spans="1:30" x14ac:dyDescent="0.3">
      <c r="A294" s="1" t="s">
        <v>2244</v>
      </c>
      <c r="B294" s="1" t="s">
        <v>2245</v>
      </c>
      <c r="C294" s="1" t="s">
        <v>69</v>
      </c>
      <c r="D294" s="1" t="s">
        <v>83</v>
      </c>
      <c r="E294" s="1" t="s">
        <v>102</v>
      </c>
      <c r="F294" s="1" t="s">
        <v>37</v>
      </c>
      <c r="G294" s="1">
        <v>32</v>
      </c>
      <c r="H294" s="1" t="s">
        <v>218</v>
      </c>
      <c r="I294" s="1" t="s">
        <v>51</v>
      </c>
      <c r="J294" s="5">
        <v>41027</v>
      </c>
      <c r="K294" s="8">
        <v>5.6</v>
      </c>
      <c r="L294" s="11">
        <v>918622</v>
      </c>
      <c r="M294" s="12">
        <v>8.6199999999999999E-2</v>
      </c>
      <c r="N294" s="7">
        <v>2</v>
      </c>
      <c r="O294" s="1" t="s">
        <v>41</v>
      </c>
      <c r="P294" s="1">
        <v>9940822421</v>
      </c>
      <c r="Q294" s="1" t="s">
        <v>2816</v>
      </c>
      <c r="R294" s="10">
        <v>50</v>
      </c>
      <c r="S294" s="10">
        <v>116</v>
      </c>
      <c r="T294" s="1" t="s">
        <v>66</v>
      </c>
      <c r="U294" t="str">
        <f t="shared" si="24"/>
        <v>Invalid</v>
      </c>
      <c r="V294">
        <f t="shared" si="25"/>
        <v>4</v>
      </c>
      <c r="W294" t="str">
        <f t="shared" si="26"/>
        <v>Apr</v>
      </c>
      <c r="X294">
        <f t="shared" si="27"/>
        <v>2012</v>
      </c>
      <c r="Y294">
        <f t="shared" ca="1" si="28"/>
        <v>13</v>
      </c>
      <c r="Z294" t="str" cm="1">
        <f t="array" ref="Z294">_xlfn.IFS(G294&lt;30,"20-29",G294&lt;40,"30-39",G294&lt;50,"40-49",G294&gt;=50,"50+")</f>
        <v>30-39</v>
      </c>
      <c r="AA294" t="str" cm="1">
        <f t="array" ref="AA294">_xlfn.IFS(L294&lt;500000,"Band 1: &lt;5L", L294&lt;1000000,"Band 2: 5-10L", L294&lt;1500000,"Band 3: 10-15L", L294&lt;2000000,"Band 4: 15-20L", L294&gt;=2000000,"Band 5: 20L+")</f>
        <v>Band 2: 5-10L</v>
      </c>
      <c r="AB294" t="str" cm="1">
        <f t="array" ref="AB294">_xlfn.IFS(N294=1,"Poor", N294=2,"Below Average", N294=3,"Average", N294=4,"Good", N294=5,"Excellent")</f>
        <v>Below Average</v>
      </c>
      <c r="AC294" s="14">
        <f t="shared" si="29"/>
        <v>79185.216400000005</v>
      </c>
      <c r="AD294" t="str" cm="1">
        <f t="array" ref="AD294">_xlfn.IFS(K294&lt;2,"Junior (0-2 yrs)", K294&lt;5,"Mid-Level (2-5 yrs)", K294&lt;10,"Senior (5-10 yrs)", K294&gt;=10,"Expert (10+ yrs)")</f>
        <v>Senior (5-10 yrs)</v>
      </c>
    </row>
    <row r="295" spans="1:30" x14ac:dyDescent="0.3">
      <c r="A295" s="1" t="s">
        <v>2257</v>
      </c>
      <c r="B295" s="1" t="s">
        <v>2258</v>
      </c>
      <c r="C295" s="1" t="s">
        <v>58</v>
      </c>
      <c r="D295" s="1" t="s">
        <v>244</v>
      </c>
      <c r="E295" s="1" t="s">
        <v>175</v>
      </c>
      <c r="F295" s="1" t="s">
        <v>93</v>
      </c>
      <c r="G295" s="1">
        <v>57</v>
      </c>
      <c r="H295" s="1" t="s">
        <v>84</v>
      </c>
      <c r="I295" s="1" t="s">
        <v>39</v>
      </c>
      <c r="J295" s="5">
        <v>40189</v>
      </c>
      <c r="K295" s="8">
        <v>0.6</v>
      </c>
      <c r="L295" s="11">
        <v>1865091</v>
      </c>
      <c r="M295" s="12">
        <v>4.7100000000000003E-2</v>
      </c>
      <c r="N295" s="7">
        <v>1</v>
      </c>
      <c r="O295" s="1" t="s">
        <v>41</v>
      </c>
      <c r="P295" s="1">
        <v>9419632965</v>
      </c>
      <c r="Q295" s="1" t="s">
        <v>2817</v>
      </c>
      <c r="R295" s="10">
        <v>23</v>
      </c>
      <c r="S295" s="10">
        <v>44</v>
      </c>
      <c r="T295" s="1" t="s">
        <v>615</v>
      </c>
      <c r="U295" t="str">
        <f t="shared" si="24"/>
        <v>Valid</v>
      </c>
      <c r="V295">
        <f t="shared" si="25"/>
        <v>1</v>
      </c>
      <c r="W295" t="str">
        <f t="shared" si="26"/>
        <v>Jan</v>
      </c>
      <c r="X295">
        <f t="shared" si="27"/>
        <v>2010</v>
      </c>
      <c r="Y295">
        <f t="shared" ca="1" si="28"/>
        <v>16</v>
      </c>
      <c r="Z295" t="str" cm="1">
        <f t="array" ref="Z295">_xlfn.IFS(G295&lt;30,"20-29",G295&lt;40,"30-39",G295&lt;50,"40-49",G295&gt;=50,"50+")</f>
        <v>50+</v>
      </c>
      <c r="AA295" t="str" cm="1">
        <f t="array" ref="AA295">_xlfn.IFS(L295&lt;500000,"Band 1: &lt;5L", L295&lt;1000000,"Band 2: 5-10L", L295&lt;1500000,"Band 3: 10-15L", L295&lt;2000000,"Band 4: 15-20L", L295&gt;=2000000,"Band 5: 20L+")</f>
        <v>Band 4: 15-20L</v>
      </c>
      <c r="AB295" t="str" cm="1">
        <f t="array" ref="AB295">_xlfn.IFS(N295=1,"Poor", N295=2,"Below Average", N295=3,"Average", N295=4,"Good", N295=5,"Excellent")</f>
        <v>Poor</v>
      </c>
      <c r="AC295" s="14">
        <f t="shared" si="29"/>
        <v>87845.786100000012</v>
      </c>
      <c r="AD295" t="str" cm="1">
        <f t="array" ref="AD295">_xlfn.IFS(K295&lt;2,"Junior (0-2 yrs)", K295&lt;5,"Mid-Level (2-5 yrs)", K295&lt;10,"Senior (5-10 yrs)", K295&gt;=10,"Expert (10+ yrs)")</f>
        <v>Junior (0-2 yrs)</v>
      </c>
    </row>
    <row r="296" spans="1:30" x14ac:dyDescent="0.3">
      <c r="A296" s="1" t="s">
        <v>2262</v>
      </c>
      <c r="B296" s="1" t="s">
        <v>2263</v>
      </c>
      <c r="C296" s="1" t="s">
        <v>69</v>
      </c>
      <c r="D296" s="1" t="s">
        <v>244</v>
      </c>
      <c r="E296" s="1" t="s">
        <v>175</v>
      </c>
      <c r="F296" s="1" t="s">
        <v>37</v>
      </c>
      <c r="G296" s="1">
        <v>33</v>
      </c>
      <c r="H296" s="1" t="s">
        <v>84</v>
      </c>
      <c r="I296" s="1" t="s">
        <v>39</v>
      </c>
      <c r="J296" s="5">
        <v>44034</v>
      </c>
      <c r="K296" s="8">
        <v>6.2</v>
      </c>
      <c r="L296" s="11">
        <v>1147580</v>
      </c>
      <c r="M296" s="12">
        <v>3.3E-3</v>
      </c>
      <c r="N296" s="7">
        <v>5</v>
      </c>
      <c r="O296" s="1" t="s">
        <v>41</v>
      </c>
      <c r="P296" s="1">
        <v>7210821160</v>
      </c>
      <c r="Q296" s="1" t="s">
        <v>2818</v>
      </c>
      <c r="R296" s="10">
        <v>62</v>
      </c>
      <c r="S296" s="10">
        <v>106</v>
      </c>
      <c r="T296" s="1" t="s">
        <v>179</v>
      </c>
      <c r="U296" t="str">
        <f t="shared" si="24"/>
        <v>Invalid</v>
      </c>
      <c r="V296">
        <f t="shared" si="25"/>
        <v>7</v>
      </c>
      <c r="W296" t="str">
        <f t="shared" si="26"/>
        <v>Jul</v>
      </c>
      <c r="X296">
        <f t="shared" si="27"/>
        <v>2020</v>
      </c>
      <c r="Y296">
        <f t="shared" ca="1" si="28"/>
        <v>5</v>
      </c>
      <c r="Z296" t="str" cm="1">
        <f t="array" ref="Z296">_xlfn.IFS(G296&lt;30,"20-29",G296&lt;40,"30-39",G296&lt;50,"40-49",G296&gt;=50,"50+")</f>
        <v>30-39</v>
      </c>
      <c r="AA296" t="str" cm="1">
        <f t="array" ref="AA296">_xlfn.IFS(L296&lt;500000,"Band 1: &lt;5L", L296&lt;1000000,"Band 2: 5-10L", L296&lt;1500000,"Band 3: 10-15L", L296&lt;2000000,"Band 4: 15-20L", L296&gt;=2000000,"Band 5: 20L+")</f>
        <v>Band 3: 10-15L</v>
      </c>
      <c r="AB296" t="str" cm="1">
        <f t="array" ref="AB296">_xlfn.IFS(N296=1,"Poor", N296=2,"Below Average", N296=3,"Average", N296=4,"Good", N296=5,"Excellent")</f>
        <v>Excellent</v>
      </c>
      <c r="AC296" s="14">
        <f t="shared" si="29"/>
        <v>3787.0140000000001</v>
      </c>
      <c r="AD296" t="str" cm="1">
        <f t="array" ref="AD296">_xlfn.IFS(K296&lt;2,"Junior (0-2 yrs)", K296&lt;5,"Mid-Level (2-5 yrs)", K296&lt;10,"Senior (5-10 yrs)", K296&gt;=10,"Expert (10+ yrs)")</f>
        <v>Senior (5-10 yrs)</v>
      </c>
    </row>
    <row r="297" spans="1:30" x14ac:dyDescent="0.3">
      <c r="A297" s="1" t="s">
        <v>2266</v>
      </c>
      <c r="B297" s="1" t="s">
        <v>2267</v>
      </c>
      <c r="C297" s="1" t="s">
        <v>58</v>
      </c>
      <c r="D297" s="1" t="s">
        <v>231</v>
      </c>
      <c r="E297" s="1" t="s">
        <v>71</v>
      </c>
      <c r="F297" s="1" t="s">
        <v>93</v>
      </c>
      <c r="G297" s="1">
        <v>45</v>
      </c>
      <c r="H297" s="1" t="s">
        <v>62</v>
      </c>
      <c r="I297" s="1" t="s">
        <v>51</v>
      </c>
      <c r="J297" s="5">
        <v>42540</v>
      </c>
      <c r="K297" s="8">
        <v>24.2</v>
      </c>
      <c r="L297" s="11">
        <v>2099172</v>
      </c>
      <c r="M297" s="12">
        <v>2.1000000000000001E-2</v>
      </c>
      <c r="N297" s="7">
        <v>5</v>
      </c>
      <c r="O297" s="1" t="s">
        <v>41</v>
      </c>
      <c r="P297" s="1">
        <v>8093146603</v>
      </c>
      <c r="Q297" s="1" t="s">
        <v>2819</v>
      </c>
      <c r="R297" s="10">
        <v>69</v>
      </c>
      <c r="S297" s="10">
        <v>24</v>
      </c>
      <c r="T297" s="1" t="s">
        <v>32</v>
      </c>
      <c r="U297" t="str">
        <f t="shared" si="24"/>
        <v>Valid</v>
      </c>
      <c r="V297">
        <f t="shared" si="25"/>
        <v>6</v>
      </c>
      <c r="W297" t="str">
        <f t="shared" si="26"/>
        <v>Jun</v>
      </c>
      <c r="X297">
        <f t="shared" si="27"/>
        <v>2016</v>
      </c>
      <c r="Y297">
        <f t="shared" ca="1" si="28"/>
        <v>9</v>
      </c>
      <c r="Z297" t="str" cm="1">
        <f t="array" ref="Z297">_xlfn.IFS(G297&lt;30,"20-29",G297&lt;40,"30-39",G297&lt;50,"40-49",G297&gt;=50,"50+")</f>
        <v>40-49</v>
      </c>
      <c r="AA297" t="str" cm="1">
        <f t="array" ref="AA297">_xlfn.IFS(L297&lt;500000,"Band 1: &lt;5L", L297&lt;1000000,"Band 2: 5-10L", L297&lt;1500000,"Band 3: 10-15L", L297&lt;2000000,"Band 4: 15-20L", L297&gt;=2000000,"Band 5: 20L+")</f>
        <v>Band 5: 20L+</v>
      </c>
      <c r="AB297" t="str" cm="1">
        <f t="array" ref="AB297">_xlfn.IFS(N297=1,"Poor", N297=2,"Below Average", N297=3,"Average", N297=4,"Good", N297=5,"Excellent")</f>
        <v>Excellent</v>
      </c>
      <c r="AC297" s="14">
        <f t="shared" si="29"/>
        <v>44082.612000000001</v>
      </c>
      <c r="AD297" t="str" cm="1">
        <f t="array" ref="AD297">_xlfn.IFS(K297&lt;2,"Junior (0-2 yrs)", K297&lt;5,"Mid-Level (2-5 yrs)", K297&lt;10,"Senior (5-10 yrs)", K297&gt;=10,"Expert (10+ yrs)")</f>
        <v>Expert (10+ yrs)</v>
      </c>
    </row>
    <row r="298" spans="1:30" x14ac:dyDescent="0.3">
      <c r="A298" s="1" t="s">
        <v>165</v>
      </c>
      <c r="B298" s="1" t="s">
        <v>2271</v>
      </c>
      <c r="C298" s="1" t="s">
        <v>58</v>
      </c>
      <c r="D298" s="1" t="s">
        <v>83</v>
      </c>
      <c r="E298" s="1" t="s">
        <v>36</v>
      </c>
      <c r="F298" s="1" t="s">
        <v>93</v>
      </c>
      <c r="G298" s="1">
        <v>50</v>
      </c>
      <c r="H298" s="1" t="s">
        <v>50</v>
      </c>
      <c r="I298" s="1" t="s">
        <v>27</v>
      </c>
      <c r="J298" s="5">
        <v>40217</v>
      </c>
      <c r="K298" s="8">
        <v>22.2</v>
      </c>
      <c r="L298" s="11">
        <v>467188</v>
      </c>
      <c r="M298" s="12">
        <v>0.1176</v>
      </c>
      <c r="N298" s="7">
        <v>5</v>
      </c>
      <c r="O298" s="1" t="s">
        <v>76</v>
      </c>
      <c r="P298" s="1">
        <v>9887427412</v>
      </c>
      <c r="Q298" s="1" t="s">
        <v>2820</v>
      </c>
      <c r="R298" s="10">
        <v>35</v>
      </c>
      <c r="S298" s="10">
        <v>74</v>
      </c>
      <c r="T298" s="1" t="s">
        <v>115</v>
      </c>
      <c r="U298" t="str">
        <f t="shared" si="24"/>
        <v>Valid</v>
      </c>
      <c r="V298">
        <f t="shared" si="25"/>
        <v>2</v>
      </c>
      <c r="W298" t="str">
        <f t="shared" si="26"/>
        <v>Feb</v>
      </c>
      <c r="X298">
        <f t="shared" si="27"/>
        <v>2010</v>
      </c>
      <c r="Y298">
        <f t="shared" ca="1" si="28"/>
        <v>16</v>
      </c>
      <c r="Z298" t="str" cm="1">
        <f t="array" ref="Z298">_xlfn.IFS(G298&lt;30,"20-29",G298&lt;40,"30-39",G298&lt;50,"40-49",G298&gt;=50,"50+")</f>
        <v>50+</v>
      </c>
      <c r="AA298" t="str" cm="1">
        <f t="array" ref="AA298">_xlfn.IFS(L298&lt;500000,"Band 1: &lt;5L", L298&lt;1000000,"Band 2: 5-10L", L298&lt;1500000,"Band 3: 10-15L", L298&lt;2000000,"Band 4: 15-20L", L298&gt;=2000000,"Band 5: 20L+")</f>
        <v>Band 1: &lt;5L</v>
      </c>
      <c r="AB298" t="str" cm="1">
        <f t="array" ref="AB298">_xlfn.IFS(N298=1,"Poor", N298=2,"Below Average", N298=3,"Average", N298=4,"Good", N298=5,"Excellent")</f>
        <v>Excellent</v>
      </c>
      <c r="AC298" s="14">
        <f t="shared" si="29"/>
        <v>54941.308799999999</v>
      </c>
      <c r="AD298" t="str" cm="1">
        <f t="array" ref="AD298">_xlfn.IFS(K298&lt;2,"Junior (0-2 yrs)", K298&lt;5,"Mid-Level (2-5 yrs)", K298&lt;10,"Senior (5-10 yrs)", K298&gt;=10,"Expert (10+ yrs)")</f>
        <v>Expert (10+ yrs)</v>
      </c>
    </row>
    <row r="299" spans="1:30" x14ac:dyDescent="0.3">
      <c r="A299" s="1" t="s">
        <v>2274</v>
      </c>
      <c r="B299" s="1" t="s">
        <v>2275</v>
      </c>
      <c r="C299" s="1" t="s">
        <v>197</v>
      </c>
      <c r="D299" s="1" t="s">
        <v>23</v>
      </c>
      <c r="E299" s="1" t="s">
        <v>71</v>
      </c>
      <c r="F299" s="1" t="s">
        <v>93</v>
      </c>
      <c r="G299" s="1">
        <v>44</v>
      </c>
      <c r="H299" s="1" t="s">
        <v>73</v>
      </c>
      <c r="I299" s="1" t="s">
        <v>27</v>
      </c>
      <c r="J299" s="5">
        <v>41388</v>
      </c>
      <c r="K299" s="8">
        <v>27.6</v>
      </c>
      <c r="L299" s="11">
        <v>991571</v>
      </c>
      <c r="M299" s="12">
        <v>0.19800000000000001</v>
      </c>
      <c r="N299" s="7">
        <v>4</v>
      </c>
      <c r="O299" s="1" t="s">
        <v>41</v>
      </c>
      <c r="P299" s="1">
        <v>9167384632</v>
      </c>
      <c r="Q299" s="1" t="s">
        <v>2821</v>
      </c>
      <c r="R299" s="10">
        <v>32</v>
      </c>
      <c r="S299" s="10">
        <v>79</v>
      </c>
      <c r="T299" s="1" t="s">
        <v>288</v>
      </c>
      <c r="U299" t="str">
        <f t="shared" si="24"/>
        <v>Invalid</v>
      </c>
      <c r="V299">
        <f t="shared" si="25"/>
        <v>4</v>
      </c>
      <c r="W299" t="str">
        <f t="shared" si="26"/>
        <v>Apr</v>
      </c>
      <c r="X299">
        <f t="shared" si="27"/>
        <v>2013</v>
      </c>
      <c r="Y299">
        <f t="shared" ca="1" si="28"/>
        <v>12</v>
      </c>
      <c r="Z299" t="str" cm="1">
        <f t="array" ref="Z299">_xlfn.IFS(G299&lt;30,"20-29",G299&lt;40,"30-39",G299&lt;50,"40-49",G299&gt;=50,"50+")</f>
        <v>40-49</v>
      </c>
      <c r="AA299" t="str" cm="1">
        <f t="array" ref="AA299">_xlfn.IFS(L299&lt;500000,"Band 1: &lt;5L", L299&lt;1000000,"Band 2: 5-10L", L299&lt;1500000,"Band 3: 10-15L", L299&lt;2000000,"Band 4: 15-20L", L299&gt;=2000000,"Band 5: 20L+")</f>
        <v>Band 2: 5-10L</v>
      </c>
      <c r="AB299" t="str" cm="1">
        <f t="array" ref="AB299">_xlfn.IFS(N299=1,"Poor", N299=2,"Below Average", N299=3,"Average", N299=4,"Good", N299=5,"Excellent")</f>
        <v>Good</v>
      </c>
      <c r="AC299" s="14">
        <f t="shared" si="29"/>
        <v>196331.05800000002</v>
      </c>
      <c r="AD299" t="str" cm="1">
        <f t="array" ref="AD299">_xlfn.IFS(K299&lt;2,"Junior (0-2 yrs)", K299&lt;5,"Mid-Level (2-5 yrs)", K299&lt;10,"Senior (5-10 yrs)", K299&gt;=10,"Expert (10+ yrs)")</f>
        <v>Expert (10+ yrs)</v>
      </c>
    </row>
    <row r="300" spans="1:30" x14ac:dyDescent="0.3">
      <c r="A300" s="1" t="s">
        <v>1061</v>
      </c>
      <c r="B300" s="1" t="s">
        <v>2279</v>
      </c>
      <c r="C300" s="1" t="s">
        <v>58</v>
      </c>
      <c r="D300" s="1" t="s">
        <v>231</v>
      </c>
      <c r="E300" s="1" t="s">
        <v>189</v>
      </c>
      <c r="F300" s="1" t="s">
        <v>37</v>
      </c>
      <c r="G300" s="1">
        <v>46</v>
      </c>
      <c r="H300" s="1" t="s">
        <v>62</v>
      </c>
      <c r="I300" s="1" t="s">
        <v>198</v>
      </c>
      <c r="J300" s="5">
        <v>43741</v>
      </c>
      <c r="K300" s="8">
        <v>9.6999999999999993</v>
      </c>
      <c r="L300" s="11">
        <v>1729821</v>
      </c>
      <c r="M300" s="12">
        <v>0.106</v>
      </c>
      <c r="N300" s="7">
        <v>3</v>
      </c>
      <c r="O300" s="1" t="s">
        <v>41</v>
      </c>
      <c r="P300" s="1">
        <v>7213728259</v>
      </c>
      <c r="Q300" s="1" t="s">
        <v>2822</v>
      </c>
      <c r="R300" s="10">
        <v>53</v>
      </c>
      <c r="S300" s="10">
        <v>96</v>
      </c>
      <c r="T300" s="1" t="s">
        <v>1100</v>
      </c>
      <c r="U300" t="str">
        <f t="shared" si="24"/>
        <v>Valid</v>
      </c>
      <c r="V300">
        <f t="shared" si="25"/>
        <v>10</v>
      </c>
      <c r="W300" t="str">
        <f t="shared" si="26"/>
        <v>Oct</v>
      </c>
      <c r="X300">
        <f t="shared" si="27"/>
        <v>2019</v>
      </c>
      <c r="Y300">
        <f t="shared" ca="1" si="28"/>
        <v>6</v>
      </c>
      <c r="Z300" t="str" cm="1">
        <f t="array" ref="Z300">_xlfn.IFS(G300&lt;30,"20-29",G300&lt;40,"30-39",G300&lt;50,"40-49",G300&gt;=50,"50+")</f>
        <v>40-49</v>
      </c>
      <c r="AA300" t="str" cm="1">
        <f t="array" ref="AA300">_xlfn.IFS(L300&lt;500000,"Band 1: &lt;5L", L300&lt;1000000,"Band 2: 5-10L", L300&lt;1500000,"Band 3: 10-15L", L300&lt;2000000,"Band 4: 15-20L", L300&gt;=2000000,"Band 5: 20L+")</f>
        <v>Band 4: 15-20L</v>
      </c>
      <c r="AB300" t="str" cm="1">
        <f t="array" ref="AB300">_xlfn.IFS(N300=1,"Poor", N300=2,"Below Average", N300=3,"Average", N300=4,"Good", N300=5,"Excellent")</f>
        <v>Average</v>
      </c>
      <c r="AC300" s="14">
        <f t="shared" si="29"/>
        <v>183361.02599999998</v>
      </c>
      <c r="AD300" t="str" cm="1">
        <f t="array" ref="AD300">_xlfn.IFS(K300&lt;2,"Junior (0-2 yrs)", K300&lt;5,"Mid-Level (2-5 yrs)", K300&lt;10,"Senior (5-10 yrs)", K300&gt;=10,"Expert (10+ yrs)")</f>
        <v>Senior (5-10 yrs)</v>
      </c>
    </row>
    <row r="301" spans="1:30" x14ac:dyDescent="0.3">
      <c r="A301" s="1" t="s">
        <v>2283</v>
      </c>
      <c r="B301" s="1" t="s">
        <v>2284</v>
      </c>
      <c r="C301" s="1" t="s">
        <v>46</v>
      </c>
      <c r="D301" s="1" t="s">
        <v>231</v>
      </c>
      <c r="E301" s="1" t="s">
        <v>71</v>
      </c>
      <c r="F301" s="1" t="s">
        <v>37</v>
      </c>
      <c r="G301" s="1">
        <v>39</v>
      </c>
      <c r="H301" s="1" t="s">
        <v>38</v>
      </c>
      <c r="I301" s="1" t="s">
        <v>51</v>
      </c>
      <c r="J301" s="5">
        <v>42233</v>
      </c>
      <c r="K301" s="8">
        <v>2.7</v>
      </c>
      <c r="L301" s="11">
        <v>938395</v>
      </c>
      <c r="M301" s="12">
        <v>4.6999999999999993E-3</v>
      </c>
      <c r="N301" s="7">
        <v>3</v>
      </c>
      <c r="O301" s="1" t="s">
        <v>76</v>
      </c>
      <c r="P301" s="1">
        <v>9468480251</v>
      </c>
      <c r="Q301" s="1" t="s">
        <v>2823</v>
      </c>
      <c r="R301" s="10">
        <v>54</v>
      </c>
      <c r="S301" s="10">
        <v>109</v>
      </c>
      <c r="T301" s="1" t="s">
        <v>893</v>
      </c>
      <c r="U301" t="str">
        <f t="shared" si="24"/>
        <v>Valid</v>
      </c>
      <c r="V301">
        <f t="shared" si="25"/>
        <v>8</v>
      </c>
      <c r="W301" t="str">
        <f t="shared" si="26"/>
        <v>Aug</v>
      </c>
      <c r="X301">
        <f t="shared" si="27"/>
        <v>2015</v>
      </c>
      <c r="Y301">
        <f t="shared" ca="1" si="28"/>
        <v>10</v>
      </c>
      <c r="Z301" t="str" cm="1">
        <f t="array" ref="Z301">_xlfn.IFS(G301&lt;30,"20-29",G301&lt;40,"30-39",G301&lt;50,"40-49",G301&gt;=50,"50+")</f>
        <v>30-39</v>
      </c>
      <c r="AA301" t="str" cm="1">
        <f t="array" ref="AA301">_xlfn.IFS(L301&lt;500000,"Band 1: &lt;5L", L301&lt;1000000,"Band 2: 5-10L", L301&lt;1500000,"Band 3: 10-15L", L301&lt;2000000,"Band 4: 15-20L", L301&gt;=2000000,"Band 5: 20L+")</f>
        <v>Band 2: 5-10L</v>
      </c>
      <c r="AB301" t="str" cm="1">
        <f t="array" ref="AB301">_xlfn.IFS(N301=1,"Poor", N301=2,"Below Average", N301=3,"Average", N301=4,"Good", N301=5,"Excellent")</f>
        <v>Average</v>
      </c>
      <c r="AC301" s="14">
        <f t="shared" si="29"/>
        <v>4410.4564999999993</v>
      </c>
      <c r="AD301" t="str" cm="1">
        <f t="array" ref="AD301">_xlfn.IFS(K301&lt;2,"Junior (0-2 yrs)", K301&lt;5,"Mid-Level (2-5 yrs)", K301&lt;10,"Senior (5-10 yrs)", K301&gt;=10,"Expert (10+ yrs)")</f>
        <v>Mid-Level (2-5 yrs)</v>
      </c>
    </row>
    <row r="302" spans="1:30" x14ac:dyDescent="0.3">
      <c r="A302" s="1" t="s">
        <v>2288</v>
      </c>
      <c r="B302" s="1" t="s">
        <v>2289</v>
      </c>
      <c r="C302" s="1" t="s">
        <v>46</v>
      </c>
      <c r="D302" s="1" t="s">
        <v>231</v>
      </c>
      <c r="E302" s="1" t="s">
        <v>48</v>
      </c>
      <c r="F302" s="1" t="s">
        <v>93</v>
      </c>
      <c r="G302" s="1">
        <v>32</v>
      </c>
      <c r="H302" s="1" t="s">
        <v>103</v>
      </c>
      <c r="I302" s="1" t="s">
        <v>27</v>
      </c>
      <c r="J302" s="5">
        <v>41164</v>
      </c>
      <c r="K302" s="8">
        <v>5.7</v>
      </c>
      <c r="L302" s="11">
        <v>2495786</v>
      </c>
      <c r="M302" s="12">
        <v>6.2400000000000004E-2</v>
      </c>
      <c r="N302" s="7">
        <v>3</v>
      </c>
      <c r="O302" s="1" t="s">
        <v>41</v>
      </c>
      <c r="P302" s="1">
        <v>8603241272</v>
      </c>
      <c r="Q302" s="1" t="s">
        <v>2824</v>
      </c>
      <c r="R302" s="10">
        <v>15</v>
      </c>
      <c r="S302" s="10">
        <v>61</v>
      </c>
      <c r="T302" s="1" t="s">
        <v>1049</v>
      </c>
      <c r="U302" t="str">
        <f t="shared" si="24"/>
        <v>Invalid</v>
      </c>
      <c r="V302">
        <f t="shared" si="25"/>
        <v>9</v>
      </c>
      <c r="W302" t="str">
        <f t="shared" si="26"/>
        <v>Sep</v>
      </c>
      <c r="X302">
        <f t="shared" si="27"/>
        <v>2012</v>
      </c>
      <c r="Y302">
        <f t="shared" ca="1" si="28"/>
        <v>13</v>
      </c>
      <c r="Z302" t="str" cm="1">
        <f t="array" ref="Z302">_xlfn.IFS(G302&lt;30,"20-29",G302&lt;40,"30-39",G302&lt;50,"40-49",G302&gt;=50,"50+")</f>
        <v>30-39</v>
      </c>
      <c r="AA302" t="str" cm="1">
        <f t="array" ref="AA302">_xlfn.IFS(L302&lt;500000,"Band 1: &lt;5L", L302&lt;1000000,"Band 2: 5-10L", L302&lt;1500000,"Band 3: 10-15L", L302&lt;2000000,"Band 4: 15-20L", L302&gt;=2000000,"Band 5: 20L+")</f>
        <v>Band 5: 20L+</v>
      </c>
      <c r="AB302" t="str" cm="1">
        <f t="array" ref="AB302">_xlfn.IFS(N302=1,"Poor", N302=2,"Below Average", N302=3,"Average", N302=4,"Good", N302=5,"Excellent")</f>
        <v>Average</v>
      </c>
      <c r="AC302" s="14">
        <f t="shared" si="29"/>
        <v>155737.04640000002</v>
      </c>
      <c r="AD302" t="str" cm="1">
        <f t="array" ref="AD302">_xlfn.IFS(K302&lt;2,"Junior (0-2 yrs)", K302&lt;5,"Mid-Level (2-5 yrs)", K302&lt;10,"Senior (5-10 yrs)", K302&gt;=10,"Expert (10+ yrs)")</f>
        <v>Senior (5-10 yrs)</v>
      </c>
    </row>
    <row r="303" spans="1:30" x14ac:dyDescent="0.3">
      <c r="A303" s="1" t="s">
        <v>2293</v>
      </c>
      <c r="B303" s="1" t="s">
        <v>2294</v>
      </c>
      <c r="C303" s="1" t="s">
        <v>197</v>
      </c>
      <c r="D303" s="1" t="s">
        <v>101</v>
      </c>
      <c r="E303" s="1" t="s">
        <v>175</v>
      </c>
      <c r="F303" s="1" t="s">
        <v>93</v>
      </c>
      <c r="G303" s="1">
        <v>58</v>
      </c>
      <c r="H303" s="1" t="s">
        <v>62</v>
      </c>
      <c r="I303" s="1" t="s">
        <v>27</v>
      </c>
      <c r="J303" s="5">
        <v>40440</v>
      </c>
      <c r="K303" s="8">
        <v>12.1</v>
      </c>
      <c r="L303" s="11">
        <v>2297588</v>
      </c>
      <c r="M303" s="12">
        <v>0.23730000000000001</v>
      </c>
      <c r="N303" s="7">
        <v>5</v>
      </c>
      <c r="O303" s="1" t="s">
        <v>41</v>
      </c>
      <c r="P303" s="1">
        <v>7633282877</v>
      </c>
      <c r="Q303" s="1" t="s">
        <v>2825</v>
      </c>
      <c r="R303" s="10">
        <v>27</v>
      </c>
      <c r="S303" s="10">
        <v>16</v>
      </c>
      <c r="T303" s="1" t="s">
        <v>129</v>
      </c>
      <c r="U303" t="str">
        <f t="shared" si="24"/>
        <v>Valid</v>
      </c>
      <c r="V303">
        <f t="shared" si="25"/>
        <v>9</v>
      </c>
      <c r="W303" t="str">
        <f t="shared" si="26"/>
        <v>Sep</v>
      </c>
      <c r="X303">
        <f t="shared" si="27"/>
        <v>2010</v>
      </c>
      <c r="Y303">
        <f t="shared" ca="1" si="28"/>
        <v>15</v>
      </c>
      <c r="Z303" t="str" cm="1">
        <f t="array" ref="Z303">_xlfn.IFS(G303&lt;30,"20-29",G303&lt;40,"30-39",G303&lt;50,"40-49",G303&gt;=50,"50+")</f>
        <v>50+</v>
      </c>
      <c r="AA303" t="str" cm="1">
        <f t="array" ref="AA303">_xlfn.IFS(L303&lt;500000,"Band 1: &lt;5L", L303&lt;1000000,"Band 2: 5-10L", L303&lt;1500000,"Band 3: 10-15L", L303&lt;2000000,"Band 4: 15-20L", L303&gt;=2000000,"Band 5: 20L+")</f>
        <v>Band 5: 20L+</v>
      </c>
      <c r="AB303" t="str" cm="1">
        <f t="array" ref="AB303">_xlfn.IFS(N303=1,"Poor", N303=2,"Below Average", N303=3,"Average", N303=4,"Good", N303=5,"Excellent")</f>
        <v>Excellent</v>
      </c>
      <c r="AC303" s="14">
        <f t="shared" si="29"/>
        <v>545217.6324</v>
      </c>
      <c r="AD303" t="str" cm="1">
        <f t="array" ref="AD303">_xlfn.IFS(K303&lt;2,"Junior (0-2 yrs)", K303&lt;5,"Mid-Level (2-5 yrs)", K303&lt;10,"Senior (5-10 yrs)", K303&gt;=10,"Expert (10+ yrs)")</f>
        <v>Expert (10+ yrs)</v>
      </c>
    </row>
    <row r="304" spans="1:30" x14ac:dyDescent="0.3">
      <c r="A304" s="1" t="s">
        <v>2298</v>
      </c>
      <c r="B304" s="1" t="s">
        <v>2299</v>
      </c>
      <c r="C304" s="1" t="s">
        <v>197</v>
      </c>
      <c r="D304" s="1" t="s">
        <v>101</v>
      </c>
      <c r="E304" s="1" t="s">
        <v>92</v>
      </c>
      <c r="F304" s="1" t="s">
        <v>93</v>
      </c>
      <c r="G304" s="1">
        <v>22</v>
      </c>
      <c r="H304" s="1" t="s">
        <v>26</v>
      </c>
      <c r="I304" s="1" t="s">
        <v>74</v>
      </c>
      <c r="J304" s="5">
        <v>41176</v>
      </c>
      <c r="K304" s="8">
        <v>3.6</v>
      </c>
      <c r="L304" s="11">
        <v>1232081</v>
      </c>
      <c r="M304" s="12">
        <v>7.0499999999999993E-2</v>
      </c>
      <c r="N304" s="7">
        <v>5</v>
      </c>
      <c r="O304" s="1" t="s">
        <v>41</v>
      </c>
      <c r="P304" s="1">
        <v>7410343578</v>
      </c>
      <c r="Q304" s="1" t="s">
        <v>2826</v>
      </c>
      <c r="R304" s="10">
        <v>12</v>
      </c>
      <c r="S304" s="10">
        <v>21</v>
      </c>
      <c r="T304" s="1" t="s">
        <v>1061</v>
      </c>
      <c r="U304" t="str">
        <f t="shared" si="24"/>
        <v>Valid</v>
      </c>
      <c r="V304">
        <f t="shared" si="25"/>
        <v>9</v>
      </c>
      <c r="W304" t="str">
        <f t="shared" si="26"/>
        <v>Sep</v>
      </c>
      <c r="X304">
        <f t="shared" si="27"/>
        <v>2012</v>
      </c>
      <c r="Y304">
        <f t="shared" ca="1" si="28"/>
        <v>13</v>
      </c>
      <c r="Z304" t="str" cm="1">
        <f t="array" ref="Z304">_xlfn.IFS(G304&lt;30,"20-29",G304&lt;40,"30-39",G304&lt;50,"40-49",G304&gt;=50,"50+")</f>
        <v>20-29</v>
      </c>
      <c r="AA304" t="str" cm="1">
        <f t="array" ref="AA304">_xlfn.IFS(L304&lt;500000,"Band 1: &lt;5L", L304&lt;1000000,"Band 2: 5-10L", L304&lt;1500000,"Band 3: 10-15L", L304&lt;2000000,"Band 4: 15-20L", L304&gt;=2000000,"Band 5: 20L+")</f>
        <v>Band 3: 10-15L</v>
      </c>
      <c r="AB304" t="str" cm="1">
        <f t="array" ref="AB304">_xlfn.IFS(N304=1,"Poor", N304=2,"Below Average", N304=3,"Average", N304=4,"Good", N304=5,"Excellent")</f>
        <v>Excellent</v>
      </c>
      <c r="AC304" s="14">
        <f t="shared" si="29"/>
        <v>86861.710499999986</v>
      </c>
      <c r="AD304" t="str" cm="1">
        <f t="array" ref="AD304">_xlfn.IFS(K304&lt;2,"Junior (0-2 yrs)", K304&lt;5,"Mid-Level (2-5 yrs)", K304&lt;10,"Senior (5-10 yrs)", K304&gt;=10,"Expert (10+ yrs)")</f>
        <v>Mid-Level (2-5 yrs)</v>
      </c>
    </row>
    <row r="305" spans="1:30" x14ac:dyDescent="0.3">
      <c r="A305" s="1" t="s">
        <v>494</v>
      </c>
      <c r="B305" s="1" t="s">
        <v>2303</v>
      </c>
      <c r="C305" s="1" t="s">
        <v>69</v>
      </c>
      <c r="D305" s="1" t="s">
        <v>244</v>
      </c>
      <c r="E305" s="1" t="s">
        <v>92</v>
      </c>
      <c r="F305" s="1" t="s">
        <v>37</v>
      </c>
      <c r="G305" s="1">
        <v>47</v>
      </c>
      <c r="H305" s="1" t="s">
        <v>84</v>
      </c>
      <c r="I305" s="1" t="s">
        <v>39</v>
      </c>
      <c r="J305" s="5">
        <v>44092</v>
      </c>
      <c r="K305" s="8">
        <v>13</v>
      </c>
      <c r="L305" s="11">
        <v>2401551</v>
      </c>
      <c r="M305" s="12">
        <v>9.7699999999999995E-2</v>
      </c>
      <c r="N305" s="7">
        <v>5</v>
      </c>
      <c r="O305" s="1" t="s">
        <v>41</v>
      </c>
      <c r="P305" s="1">
        <v>9196036938</v>
      </c>
      <c r="Q305" s="1" t="s">
        <v>2827</v>
      </c>
      <c r="R305" s="10">
        <v>8</v>
      </c>
      <c r="S305" s="10">
        <v>55</v>
      </c>
      <c r="T305" s="1" t="s">
        <v>494</v>
      </c>
      <c r="U305" t="str">
        <f t="shared" si="24"/>
        <v>Valid</v>
      </c>
      <c r="V305">
        <f t="shared" si="25"/>
        <v>9</v>
      </c>
      <c r="W305" t="str">
        <f t="shared" si="26"/>
        <v>Sep</v>
      </c>
      <c r="X305">
        <f t="shared" si="27"/>
        <v>2020</v>
      </c>
      <c r="Y305">
        <f t="shared" ca="1" si="28"/>
        <v>5</v>
      </c>
      <c r="Z305" t="str" cm="1">
        <f t="array" ref="Z305">_xlfn.IFS(G305&lt;30,"20-29",G305&lt;40,"30-39",G305&lt;50,"40-49",G305&gt;=50,"50+")</f>
        <v>40-49</v>
      </c>
      <c r="AA305" t="str" cm="1">
        <f t="array" ref="AA305">_xlfn.IFS(L305&lt;500000,"Band 1: &lt;5L", L305&lt;1000000,"Band 2: 5-10L", L305&lt;1500000,"Band 3: 10-15L", L305&lt;2000000,"Band 4: 15-20L", L305&gt;=2000000,"Band 5: 20L+")</f>
        <v>Band 5: 20L+</v>
      </c>
      <c r="AB305" t="str" cm="1">
        <f t="array" ref="AB305">_xlfn.IFS(N305=1,"Poor", N305=2,"Below Average", N305=3,"Average", N305=4,"Good", N305=5,"Excellent")</f>
        <v>Excellent</v>
      </c>
      <c r="AC305" s="14">
        <f t="shared" si="29"/>
        <v>234631.53269999998</v>
      </c>
      <c r="AD305" t="str" cm="1">
        <f t="array" ref="AD305">_xlfn.IFS(K305&lt;2,"Junior (0-2 yrs)", K305&lt;5,"Mid-Level (2-5 yrs)", K305&lt;10,"Senior (5-10 yrs)", K305&gt;=10,"Expert (10+ yrs)")</f>
        <v>Expert (10+ yrs)</v>
      </c>
    </row>
    <row r="306" spans="1:30" x14ac:dyDescent="0.3">
      <c r="A306" s="1" t="s">
        <v>2311</v>
      </c>
      <c r="B306" s="1" t="s">
        <v>2312</v>
      </c>
      <c r="C306" s="1" t="s">
        <v>58</v>
      </c>
      <c r="D306" s="1" t="s">
        <v>83</v>
      </c>
      <c r="E306" s="1" t="s">
        <v>175</v>
      </c>
      <c r="F306" s="1" t="s">
        <v>93</v>
      </c>
      <c r="G306" s="1">
        <v>49</v>
      </c>
      <c r="H306" s="1" t="s">
        <v>26</v>
      </c>
      <c r="I306" s="1" t="s">
        <v>51</v>
      </c>
      <c r="J306" s="5">
        <v>40503</v>
      </c>
      <c r="K306" s="8">
        <v>6.5</v>
      </c>
      <c r="L306" s="11">
        <v>345776</v>
      </c>
      <c r="M306" s="12">
        <v>0.111</v>
      </c>
      <c r="N306" s="7">
        <v>2</v>
      </c>
      <c r="O306" s="1" t="s">
        <v>41</v>
      </c>
      <c r="P306" s="1">
        <v>8918497883</v>
      </c>
      <c r="Q306" s="1" t="s">
        <v>2828</v>
      </c>
      <c r="R306" s="10">
        <v>35</v>
      </c>
      <c r="S306" s="10">
        <v>25</v>
      </c>
      <c r="T306" s="1" t="s">
        <v>1055</v>
      </c>
      <c r="U306" t="str">
        <f t="shared" si="24"/>
        <v>Valid</v>
      </c>
      <c r="V306">
        <f t="shared" si="25"/>
        <v>11</v>
      </c>
      <c r="W306" t="str">
        <f t="shared" si="26"/>
        <v>Nov</v>
      </c>
      <c r="X306">
        <f t="shared" si="27"/>
        <v>2010</v>
      </c>
      <c r="Y306">
        <f t="shared" ca="1" si="28"/>
        <v>15</v>
      </c>
      <c r="Z306" t="str" cm="1">
        <f t="array" ref="Z306">_xlfn.IFS(G306&lt;30,"20-29",G306&lt;40,"30-39",G306&lt;50,"40-49",G306&gt;=50,"50+")</f>
        <v>40-49</v>
      </c>
      <c r="AA306" t="str" cm="1">
        <f t="array" ref="AA306">_xlfn.IFS(L306&lt;500000,"Band 1: &lt;5L", L306&lt;1000000,"Band 2: 5-10L", L306&lt;1500000,"Band 3: 10-15L", L306&lt;2000000,"Band 4: 15-20L", L306&gt;=2000000,"Band 5: 20L+")</f>
        <v>Band 1: &lt;5L</v>
      </c>
      <c r="AB306" t="str" cm="1">
        <f t="array" ref="AB306">_xlfn.IFS(N306=1,"Poor", N306=2,"Below Average", N306=3,"Average", N306=4,"Good", N306=5,"Excellent")</f>
        <v>Below Average</v>
      </c>
      <c r="AC306" s="14">
        <f t="shared" si="29"/>
        <v>38381.135999999999</v>
      </c>
      <c r="AD306" t="str" cm="1">
        <f t="array" ref="AD306">_xlfn.IFS(K306&lt;2,"Junior (0-2 yrs)", K306&lt;5,"Mid-Level (2-5 yrs)", K306&lt;10,"Senior (5-10 yrs)", K306&gt;=10,"Expert (10+ yrs)")</f>
        <v>Senior (5-10 yrs)</v>
      </c>
    </row>
    <row r="307" spans="1:30" x14ac:dyDescent="0.3">
      <c r="A307" s="1" t="s">
        <v>2323</v>
      </c>
      <c r="B307" s="1" t="s">
        <v>2324</v>
      </c>
      <c r="C307" s="1" t="s">
        <v>69</v>
      </c>
      <c r="D307" s="1" t="s">
        <v>83</v>
      </c>
      <c r="E307" s="1" t="s">
        <v>60</v>
      </c>
      <c r="F307" s="1" t="s">
        <v>37</v>
      </c>
      <c r="G307" s="1">
        <v>31</v>
      </c>
      <c r="H307" s="1" t="s">
        <v>73</v>
      </c>
      <c r="I307" s="1" t="s">
        <v>27</v>
      </c>
      <c r="J307" s="5">
        <v>41822</v>
      </c>
      <c r="K307" s="8">
        <v>21.1</v>
      </c>
      <c r="L307" s="11">
        <v>2392851</v>
      </c>
      <c r="M307" s="12">
        <v>0.2462</v>
      </c>
      <c r="N307" s="7">
        <v>5</v>
      </c>
      <c r="O307" s="1" t="s">
        <v>41</v>
      </c>
      <c r="P307" s="1">
        <v>9410875655</v>
      </c>
      <c r="Q307" s="1" t="s">
        <v>2554</v>
      </c>
      <c r="R307" s="10">
        <v>37</v>
      </c>
      <c r="S307" s="10">
        <v>57</v>
      </c>
      <c r="T307" s="1" t="s">
        <v>1357</v>
      </c>
      <c r="U307" t="str">
        <f t="shared" si="24"/>
        <v>Invalid</v>
      </c>
      <c r="V307">
        <f t="shared" si="25"/>
        <v>7</v>
      </c>
      <c r="W307" t="str">
        <f t="shared" si="26"/>
        <v>Jul</v>
      </c>
      <c r="X307">
        <f t="shared" si="27"/>
        <v>2014</v>
      </c>
      <c r="Y307">
        <f t="shared" ca="1" si="28"/>
        <v>11</v>
      </c>
      <c r="Z307" t="str" cm="1">
        <f t="array" ref="Z307">_xlfn.IFS(G307&lt;30,"20-29",G307&lt;40,"30-39",G307&lt;50,"40-49",G307&gt;=50,"50+")</f>
        <v>30-39</v>
      </c>
      <c r="AA307" t="str" cm="1">
        <f t="array" ref="AA307">_xlfn.IFS(L307&lt;500000,"Band 1: &lt;5L", L307&lt;1000000,"Band 2: 5-10L", L307&lt;1500000,"Band 3: 10-15L", L307&lt;2000000,"Band 4: 15-20L", L307&gt;=2000000,"Band 5: 20L+")</f>
        <v>Band 5: 20L+</v>
      </c>
      <c r="AB307" t="str" cm="1">
        <f t="array" ref="AB307">_xlfn.IFS(N307=1,"Poor", N307=2,"Below Average", N307=3,"Average", N307=4,"Good", N307=5,"Excellent")</f>
        <v>Excellent</v>
      </c>
      <c r="AC307" s="14">
        <f t="shared" si="29"/>
        <v>589119.91619999998</v>
      </c>
      <c r="AD307" t="str" cm="1">
        <f t="array" ref="AD307">_xlfn.IFS(K307&lt;2,"Junior (0-2 yrs)", K307&lt;5,"Mid-Level (2-5 yrs)", K307&lt;10,"Senior (5-10 yrs)", K307&gt;=10,"Expert (10+ yrs)")</f>
        <v>Expert (10+ yrs)</v>
      </c>
    </row>
    <row r="308" spans="1:30" x14ac:dyDescent="0.3">
      <c r="A308" s="1" t="s">
        <v>1317</v>
      </c>
      <c r="B308" s="1" t="s">
        <v>2332</v>
      </c>
      <c r="C308" s="1" t="s">
        <v>46</v>
      </c>
      <c r="D308" s="1" t="s">
        <v>101</v>
      </c>
      <c r="E308" s="1" t="s">
        <v>60</v>
      </c>
      <c r="F308" s="1" t="s">
        <v>37</v>
      </c>
      <c r="G308" s="1">
        <v>40</v>
      </c>
      <c r="H308" s="1" t="s">
        <v>62</v>
      </c>
      <c r="I308" s="1" t="s">
        <v>39</v>
      </c>
      <c r="J308" s="5">
        <v>42408</v>
      </c>
      <c r="K308" s="8">
        <v>27.2</v>
      </c>
      <c r="L308" s="11">
        <v>972398</v>
      </c>
      <c r="M308" s="12">
        <v>0.24859999999999999</v>
      </c>
      <c r="N308" s="7">
        <v>3</v>
      </c>
      <c r="O308" s="1" t="s">
        <v>76</v>
      </c>
      <c r="P308" s="1">
        <v>7228736604</v>
      </c>
      <c r="Q308" s="1" t="s">
        <v>2829</v>
      </c>
      <c r="R308" s="10">
        <v>3</v>
      </c>
      <c r="S308" s="10">
        <v>12</v>
      </c>
      <c r="T308" s="1" t="s">
        <v>479</v>
      </c>
      <c r="U308" t="str">
        <f t="shared" si="24"/>
        <v>Valid</v>
      </c>
      <c r="V308">
        <f t="shared" si="25"/>
        <v>2</v>
      </c>
      <c r="W308" t="str">
        <f t="shared" si="26"/>
        <v>Feb</v>
      </c>
      <c r="X308">
        <f t="shared" si="27"/>
        <v>2016</v>
      </c>
      <c r="Y308">
        <f t="shared" ca="1" si="28"/>
        <v>10</v>
      </c>
      <c r="Z308" t="str" cm="1">
        <f t="array" ref="Z308">_xlfn.IFS(G308&lt;30,"20-29",G308&lt;40,"30-39",G308&lt;50,"40-49",G308&gt;=50,"50+")</f>
        <v>40-49</v>
      </c>
      <c r="AA308" t="str" cm="1">
        <f t="array" ref="AA308">_xlfn.IFS(L308&lt;500000,"Band 1: &lt;5L", L308&lt;1000000,"Band 2: 5-10L", L308&lt;1500000,"Band 3: 10-15L", L308&lt;2000000,"Band 4: 15-20L", L308&gt;=2000000,"Band 5: 20L+")</f>
        <v>Band 2: 5-10L</v>
      </c>
      <c r="AB308" t="str" cm="1">
        <f t="array" ref="AB308">_xlfn.IFS(N308=1,"Poor", N308=2,"Below Average", N308=3,"Average", N308=4,"Good", N308=5,"Excellent")</f>
        <v>Average</v>
      </c>
      <c r="AC308" s="14">
        <f t="shared" si="29"/>
        <v>241738.1428</v>
      </c>
      <c r="AD308" t="str" cm="1">
        <f t="array" ref="AD308">_xlfn.IFS(K308&lt;2,"Junior (0-2 yrs)", K308&lt;5,"Mid-Level (2-5 yrs)", K308&lt;10,"Senior (5-10 yrs)", K308&gt;=10,"Expert (10+ yrs)")</f>
        <v>Expert (10+ yrs)</v>
      </c>
    </row>
    <row r="309" spans="1:30" x14ac:dyDescent="0.3">
      <c r="A309" s="1" t="s">
        <v>146</v>
      </c>
      <c r="B309" s="1" t="s">
        <v>2335</v>
      </c>
      <c r="C309" s="1" t="s">
        <v>124</v>
      </c>
      <c r="D309" s="1" t="s">
        <v>23</v>
      </c>
      <c r="E309" s="1" t="s">
        <v>290</v>
      </c>
      <c r="F309" s="1" t="s">
        <v>93</v>
      </c>
      <c r="G309" s="1">
        <v>34</v>
      </c>
      <c r="H309" s="1" t="s">
        <v>73</v>
      </c>
      <c r="I309" s="1" t="s">
        <v>51</v>
      </c>
      <c r="J309" s="5">
        <v>42738</v>
      </c>
      <c r="K309" s="8">
        <v>14.3</v>
      </c>
      <c r="L309" s="11">
        <v>2389877</v>
      </c>
      <c r="M309" s="12">
        <v>0.12369999999999999</v>
      </c>
      <c r="N309" s="7">
        <v>4</v>
      </c>
      <c r="O309" s="1" t="s">
        <v>41</v>
      </c>
      <c r="P309" s="1">
        <v>7924038246</v>
      </c>
      <c r="Q309" s="1" t="s">
        <v>2830</v>
      </c>
      <c r="R309" s="10">
        <v>60</v>
      </c>
      <c r="S309" s="10">
        <v>1</v>
      </c>
      <c r="T309" s="1" t="s">
        <v>573</v>
      </c>
      <c r="U309" t="str">
        <f t="shared" si="24"/>
        <v>Invalid</v>
      </c>
      <c r="V309">
        <f t="shared" si="25"/>
        <v>1</v>
      </c>
      <c r="W309" t="str">
        <f t="shared" si="26"/>
        <v>Jan</v>
      </c>
      <c r="X309">
        <f t="shared" si="27"/>
        <v>2017</v>
      </c>
      <c r="Y309">
        <f t="shared" ca="1" si="28"/>
        <v>9</v>
      </c>
      <c r="Z309" t="str" cm="1">
        <f t="array" ref="Z309">_xlfn.IFS(G309&lt;30,"20-29",G309&lt;40,"30-39",G309&lt;50,"40-49",G309&gt;=50,"50+")</f>
        <v>30-39</v>
      </c>
      <c r="AA309" t="str" cm="1">
        <f t="array" ref="AA309">_xlfn.IFS(L309&lt;500000,"Band 1: &lt;5L", L309&lt;1000000,"Band 2: 5-10L", L309&lt;1500000,"Band 3: 10-15L", L309&lt;2000000,"Band 4: 15-20L", L309&gt;=2000000,"Band 5: 20L+")</f>
        <v>Band 5: 20L+</v>
      </c>
      <c r="AB309" t="str" cm="1">
        <f t="array" ref="AB309">_xlfn.IFS(N309=1,"Poor", N309=2,"Below Average", N309=3,"Average", N309=4,"Good", N309=5,"Excellent")</f>
        <v>Good</v>
      </c>
      <c r="AC309" s="14">
        <f t="shared" si="29"/>
        <v>295627.78489999997</v>
      </c>
      <c r="AD309" t="str" cm="1">
        <f t="array" ref="AD309">_xlfn.IFS(K309&lt;2,"Junior (0-2 yrs)", K309&lt;5,"Mid-Level (2-5 yrs)", K309&lt;10,"Senior (5-10 yrs)", K309&gt;=10,"Expert (10+ yrs)")</f>
        <v>Expert (10+ yrs)</v>
      </c>
    </row>
    <row r="310" spans="1:30" x14ac:dyDescent="0.3">
      <c r="A310" s="1" t="s">
        <v>159</v>
      </c>
      <c r="B310" s="1" t="s">
        <v>2342</v>
      </c>
      <c r="C310" s="1" t="s">
        <v>58</v>
      </c>
      <c r="D310" s="1" t="s">
        <v>101</v>
      </c>
      <c r="E310" s="1" t="s">
        <v>168</v>
      </c>
      <c r="F310" s="1" t="s">
        <v>93</v>
      </c>
      <c r="G310" s="1">
        <v>24</v>
      </c>
      <c r="H310" s="1" t="s">
        <v>50</v>
      </c>
      <c r="I310" s="1" t="s">
        <v>198</v>
      </c>
      <c r="J310" s="5">
        <v>45185</v>
      </c>
      <c r="K310" s="8">
        <v>9.6</v>
      </c>
      <c r="L310" s="11">
        <v>475766</v>
      </c>
      <c r="M310" s="12">
        <v>0.10920000000000001</v>
      </c>
      <c r="N310" s="7">
        <v>4</v>
      </c>
      <c r="O310" s="1" t="s">
        <v>76</v>
      </c>
      <c r="P310" s="1">
        <v>9816344780</v>
      </c>
      <c r="Q310" s="1" t="s">
        <v>2831</v>
      </c>
      <c r="R310" s="10">
        <v>56</v>
      </c>
      <c r="S310" s="10">
        <v>49</v>
      </c>
      <c r="T310" s="1" t="s">
        <v>366</v>
      </c>
      <c r="U310" t="str">
        <f t="shared" si="24"/>
        <v>Invalid</v>
      </c>
      <c r="V310">
        <f t="shared" si="25"/>
        <v>9</v>
      </c>
      <c r="W310" t="str">
        <f t="shared" si="26"/>
        <v>Sep</v>
      </c>
      <c r="X310">
        <f t="shared" si="27"/>
        <v>2023</v>
      </c>
      <c r="Y310">
        <f t="shared" ca="1" si="28"/>
        <v>2</v>
      </c>
      <c r="Z310" t="str" cm="1">
        <f t="array" ref="Z310">_xlfn.IFS(G310&lt;30,"20-29",G310&lt;40,"30-39",G310&lt;50,"40-49",G310&gt;=50,"50+")</f>
        <v>20-29</v>
      </c>
      <c r="AA310" t="str" cm="1">
        <f t="array" ref="AA310">_xlfn.IFS(L310&lt;500000,"Band 1: &lt;5L", L310&lt;1000000,"Band 2: 5-10L", L310&lt;1500000,"Band 3: 10-15L", L310&lt;2000000,"Band 4: 15-20L", L310&gt;=2000000,"Band 5: 20L+")</f>
        <v>Band 1: &lt;5L</v>
      </c>
      <c r="AB310" t="str" cm="1">
        <f t="array" ref="AB310">_xlfn.IFS(N310=1,"Poor", N310=2,"Below Average", N310=3,"Average", N310=4,"Good", N310=5,"Excellent")</f>
        <v>Good</v>
      </c>
      <c r="AC310" s="14">
        <f t="shared" si="29"/>
        <v>51953.647199999999</v>
      </c>
      <c r="AD310" t="str" cm="1">
        <f t="array" ref="AD310">_xlfn.IFS(K310&lt;2,"Junior (0-2 yrs)", K310&lt;5,"Mid-Level (2-5 yrs)", K310&lt;10,"Senior (5-10 yrs)", K310&gt;=10,"Expert (10+ yrs)")</f>
        <v>Senior (5-10 yrs)</v>
      </c>
    </row>
    <row r="311" spans="1:30" x14ac:dyDescent="0.3">
      <c r="A311" s="1" t="s">
        <v>2350</v>
      </c>
      <c r="B311" s="1" t="s">
        <v>2351</v>
      </c>
      <c r="C311" s="1" t="s">
        <v>46</v>
      </c>
      <c r="D311" s="1" t="s">
        <v>23</v>
      </c>
      <c r="E311" s="1" t="s">
        <v>36</v>
      </c>
      <c r="F311" s="1" t="s">
        <v>93</v>
      </c>
      <c r="G311" s="1">
        <v>40</v>
      </c>
      <c r="H311" s="1" t="s">
        <v>50</v>
      </c>
      <c r="I311" s="1" t="s">
        <v>198</v>
      </c>
      <c r="J311" s="5">
        <v>40487</v>
      </c>
      <c r="K311" s="8">
        <v>1.8</v>
      </c>
      <c r="L311" s="11">
        <v>799555</v>
      </c>
      <c r="M311" s="12">
        <v>5.2499999999999998E-2</v>
      </c>
      <c r="N311" s="7">
        <v>5</v>
      </c>
      <c r="O311" s="1" t="s">
        <v>41</v>
      </c>
      <c r="P311" s="1">
        <v>7221276607</v>
      </c>
      <c r="Q311" s="1" t="s">
        <v>2832</v>
      </c>
      <c r="R311" s="10">
        <v>44</v>
      </c>
      <c r="S311" s="10">
        <v>47</v>
      </c>
      <c r="T311" s="1" t="s">
        <v>1994</v>
      </c>
      <c r="U311" t="str">
        <f t="shared" si="24"/>
        <v>Valid</v>
      </c>
      <c r="V311">
        <f t="shared" si="25"/>
        <v>11</v>
      </c>
      <c r="W311" t="str">
        <f t="shared" si="26"/>
        <v>Nov</v>
      </c>
      <c r="X311">
        <f t="shared" si="27"/>
        <v>2010</v>
      </c>
      <c r="Y311">
        <f t="shared" ca="1" si="28"/>
        <v>15</v>
      </c>
      <c r="Z311" t="str" cm="1">
        <f t="array" ref="Z311">_xlfn.IFS(G311&lt;30,"20-29",G311&lt;40,"30-39",G311&lt;50,"40-49",G311&gt;=50,"50+")</f>
        <v>40-49</v>
      </c>
      <c r="AA311" t="str" cm="1">
        <f t="array" ref="AA311">_xlfn.IFS(L311&lt;500000,"Band 1: &lt;5L", L311&lt;1000000,"Band 2: 5-10L", L311&lt;1500000,"Band 3: 10-15L", L311&lt;2000000,"Band 4: 15-20L", L311&gt;=2000000,"Band 5: 20L+")</f>
        <v>Band 2: 5-10L</v>
      </c>
      <c r="AB311" t="str" cm="1">
        <f t="array" ref="AB311">_xlfn.IFS(N311=1,"Poor", N311=2,"Below Average", N311=3,"Average", N311=4,"Good", N311=5,"Excellent")</f>
        <v>Excellent</v>
      </c>
      <c r="AC311" s="14">
        <f t="shared" si="29"/>
        <v>41976.637499999997</v>
      </c>
      <c r="AD311" t="str" cm="1">
        <f t="array" ref="AD311">_xlfn.IFS(K311&lt;2,"Junior (0-2 yrs)", K311&lt;5,"Mid-Level (2-5 yrs)", K311&lt;10,"Senior (5-10 yrs)", K311&gt;=10,"Expert (10+ yrs)")</f>
        <v>Junior (0-2 yrs)</v>
      </c>
    </row>
    <row r="312" spans="1:30" x14ac:dyDescent="0.3">
      <c r="A312" s="1" t="s">
        <v>2355</v>
      </c>
      <c r="B312" s="1" t="s">
        <v>2356</v>
      </c>
      <c r="C312" s="1" t="s">
        <v>69</v>
      </c>
      <c r="D312" s="1" t="s">
        <v>23</v>
      </c>
      <c r="E312" s="1" t="s">
        <v>24</v>
      </c>
      <c r="F312" s="1" t="s">
        <v>37</v>
      </c>
      <c r="G312" s="1">
        <v>33</v>
      </c>
      <c r="H312" s="1" t="s">
        <v>142</v>
      </c>
      <c r="I312" s="1" t="s">
        <v>27</v>
      </c>
      <c r="J312" s="5">
        <v>43952</v>
      </c>
      <c r="K312" s="8">
        <v>15</v>
      </c>
      <c r="L312" s="11">
        <v>1038661</v>
      </c>
      <c r="M312" s="12">
        <v>0.11380000000000001</v>
      </c>
      <c r="N312" s="7">
        <v>3</v>
      </c>
      <c r="O312" s="1" t="s">
        <v>41</v>
      </c>
      <c r="P312" s="1">
        <v>7806801100</v>
      </c>
      <c r="Q312" s="1" t="s">
        <v>2833</v>
      </c>
      <c r="R312" s="10">
        <v>51</v>
      </c>
      <c r="S312" s="10">
        <v>67</v>
      </c>
      <c r="T312" s="1" t="s">
        <v>195</v>
      </c>
      <c r="U312" t="str">
        <f t="shared" si="24"/>
        <v>Valid</v>
      </c>
      <c r="V312">
        <f t="shared" si="25"/>
        <v>5</v>
      </c>
      <c r="W312" t="str">
        <f t="shared" si="26"/>
        <v>May</v>
      </c>
      <c r="X312">
        <f t="shared" si="27"/>
        <v>2020</v>
      </c>
      <c r="Y312">
        <f t="shared" ca="1" si="28"/>
        <v>5</v>
      </c>
      <c r="Z312" t="str" cm="1">
        <f t="array" ref="Z312">_xlfn.IFS(G312&lt;30,"20-29",G312&lt;40,"30-39",G312&lt;50,"40-49",G312&gt;=50,"50+")</f>
        <v>30-39</v>
      </c>
      <c r="AA312" t="str" cm="1">
        <f t="array" ref="AA312">_xlfn.IFS(L312&lt;500000,"Band 1: &lt;5L", L312&lt;1000000,"Band 2: 5-10L", L312&lt;1500000,"Band 3: 10-15L", L312&lt;2000000,"Band 4: 15-20L", L312&gt;=2000000,"Band 5: 20L+")</f>
        <v>Band 3: 10-15L</v>
      </c>
      <c r="AB312" t="str" cm="1">
        <f t="array" ref="AB312">_xlfn.IFS(N312=1,"Poor", N312=2,"Below Average", N312=3,"Average", N312=4,"Good", N312=5,"Excellent")</f>
        <v>Average</v>
      </c>
      <c r="AC312" s="14">
        <f t="shared" si="29"/>
        <v>118199.62180000001</v>
      </c>
      <c r="AD312" t="str" cm="1">
        <f t="array" ref="AD312">_xlfn.IFS(K312&lt;2,"Junior (0-2 yrs)", K312&lt;5,"Mid-Level (2-5 yrs)", K312&lt;10,"Senior (5-10 yrs)", K312&gt;=10,"Expert (10+ yrs)")</f>
        <v>Expert (10+ yrs)</v>
      </c>
    </row>
    <row r="313" spans="1:30" x14ac:dyDescent="0.3">
      <c r="A313" s="1" t="s">
        <v>696</v>
      </c>
      <c r="B313" s="1" t="s">
        <v>1415</v>
      </c>
      <c r="C313" s="1" t="s">
        <v>69</v>
      </c>
      <c r="D313" s="1" t="s">
        <v>23</v>
      </c>
      <c r="E313" s="1" t="s">
        <v>92</v>
      </c>
      <c r="F313" s="1" t="s">
        <v>37</v>
      </c>
      <c r="G313" s="1">
        <v>58</v>
      </c>
      <c r="H313" s="1" t="s">
        <v>103</v>
      </c>
      <c r="I313" s="1" t="s">
        <v>51</v>
      </c>
      <c r="J313" s="5">
        <v>43204</v>
      </c>
      <c r="K313" s="8">
        <v>26.3</v>
      </c>
      <c r="L313" s="11">
        <v>1644966</v>
      </c>
      <c r="M313" s="12">
        <v>1.1699999999999999E-2</v>
      </c>
      <c r="N313" s="7">
        <v>1</v>
      </c>
      <c r="O313" s="1" t="s">
        <v>41</v>
      </c>
      <c r="P313" s="1">
        <v>7752191321</v>
      </c>
      <c r="Q313" s="1" t="s">
        <v>2834</v>
      </c>
      <c r="R313" s="10">
        <v>48</v>
      </c>
      <c r="S313" s="10">
        <v>40</v>
      </c>
      <c r="T313" s="1" t="s">
        <v>172</v>
      </c>
      <c r="U313" t="str">
        <f t="shared" si="24"/>
        <v>Valid</v>
      </c>
      <c r="V313">
        <f t="shared" si="25"/>
        <v>4</v>
      </c>
      <c r="W313" t="str">
        <f t="shared" si="26"/>
        <v>Apr</v>
      </c>
      <c r="X313">
        <f t="shared" si="27"/>
        <v>2018</v>
      </c>
      <c r="Y313">
        <f t="shared" ca="1" si="28"/>
        <v>7</v>
      </c>
      <c r="Z313" t="str" cm="1">
        <f t="array" ref="Z313">_xlfn.IFS(G313&lt;30,"20-29",G313&lt;40,"30-39",G313&lt;50,"40-49",G313&gt;=50,"50+")</f>
        <v>50+</v>
      </c>
      <c r="AA313" t="str" cm="1">
        <f t="array" ref="AA313">_xlfn.IFS(L313&lt;500000,"Band 1: &lt;5L", L313&lt;1000000,"Band 2: 5-10L", L313&lt;1500000,"Band 3: 10-15L", L313&lt;2000000,"Band 4: 15-20L", L313&gt;=2000000,"Band 5: 20L+")</f>
        <v>Band 4: 15-20L</v>
      </c>
      <c r="AB313" t="str" cm="1">
        <f t="array" ref="AB313">_xlfn.IFS(N313=1,"Poor", N313=2,"Below Average", N313=3,"Average", N313=4,"Good", N313=5,"Excellent")</f>
        <v>Poor</v>
      </c>
      <c r="AC313" s="14">
        <f t="shared" si="29"/>
        <v>19246.102199999998</v>
      </c>
      <c r="AD313" t="str" cm="1">
        <f t="array" ref="AD313">_xlfn.IFS(K313&lt;2,"Junior (0-2 yrs)", K313&lt;5,"Mid-Level (2-5 yrs)", K313&lt;10,"Senior (5-10 yrs)", K313&gt;=10,"Expert (10+ yrs)")</f>
        <v>Expert (10+ yrs)</v>
      </c>
    </row>
    <row r="314" spans="1:30" x14ac:dyDescent="0.3">
      <c r="A314" s="1" t="s">
        <v>403</v>
      </c>
      <c r="B314" s="1" t="s">
        <v>2375</v>
      </c>
      <c r="C314" s="1" t="s">
        <v>58</v>
      </c>
      <c r="D314" s="1" t="s">
        <v>101</v>
      </c>
      <c r="E314" s="1" t="s">
        <v>48</v>
      </c>
      <c r="F314" s="1" t="s">
        <v>93</v>
      </c>
      <c r="G314" s="1">
        <v>48</v>
      </c>
      <c r="H314" s="1" t="s">
        <v>218</v>
      </c>
      <c r="I314" s="1" t="s">
        <v>39</v>
      </c>
      <c r="J314" s="5">
        <v>44781</v>
      </c>
      <c r="K314" s="8">
        <v>18.5</v>
      </c>
      <c r="L314" s="11">
        <v>1296273</v>
      </c>
      <c r="M314" s="12">
        <v>0.11539999999999999</v>
      </c>
      <c r="N314" s="7">
        <v>5</v>
      </c>
      <c r="O314" s="1" t="s">
        <v>41</v>
      </c>
      <c r="P314" s="1">
        <v>7833293142</v>
      </c>
      <c r="Q314" s="1" t="s">
        <v>2835</v>
      </c>
      <c r="R314" s="10">
        <v>48</v>
      </c>
      <c r="S314" s="10">
        <v>53</v>
      </c>
      <c r="T314" s="1" t="s">
        <v>548</v>
      </c>
      <c r="U314" t="str">
        <f t="shared" si="24"/>
        <v>Invalid</v>
      </c>
      <c r="V314">
        <f t="shared" si="25"/>
        <v>8</v>
      </c>
      <c r="W314" t="str">
        <f t="shared" si="26"/>
        <v>Aug</v>
      </c>
      <c r="X314">
        <f t="shared" si="27"/>
        <v>2022</v>
      </c>
      <c r="Y314">
        <f t="shared" ca="1" si="28"/>
        <v>3</v>
      </c>
      <c r="Z314" t="str" cm="1">
        <f t="array" ref="Z314">_xlfn.IFS(G314&lt;30,"20-29",G314&lt;40,"30-39",G314&lt;50,"40-49",G314&gt;=50,"50+")</f>
        <v>40-49</v>
      </c>
      <c r="AA314" t="str" cm="1">
        <f t="array" ref="AA314">_xlfn.IFS(L314&lt;500000,"Band 1: &lt;5L", L314&lt;1000000,"Band 2: 5-10L", L314&lt;1500000,"Band 3: 10-15L", L314&lt;2000000,"Band 4: 15-20L", L314&gt;=2000000,"Band 5: 20L+")</f>
        <v>Band 3: 10-15L</v>
      </c>
      <c r="AB314" t="str" cm="1">
        <f t="array" ref="AB314">_xlfn.IFS(N314=1,"Poor", N314=2,"Below Average", N314=3,"Average", N314=4,"Good", N314=5,"Excellent")</f>
        <v>Excellent</v>
      </c>
      <c r="AC314" s="14">
        <f t="shared" si="29"/>
        <v>149589.90419999999</v>
      </c>
      <c r="AD314" t="str" cm="1">
        <f t="array" ref="AD314">_xlfn.IFS(K314&lt;2,"Junior (0-2 yrs)", K314&lt;5,"Mid-Level (2-5 yrs)", K314&lt;10,"Senior (5-10 yrs)", K314&gt;=10,"Expert (10+ yrs)")</f>
        <v>Expert (10+ yrs)</v>
      </c>
    </row>
    <row r="315" spans="1:30" x14ac:dyDescent="0.3">
      <c r="A315" s="1" t="s">
        <v>2379</v>
      </c>
      <c r="B315" s="1" t="s">
        <v>2380</v>
      </c>
      <c r="C315" s="1" t="s">
        <v>124</v>
      </c>
      <c r="D315" s="1" t="s">
        <v>231</v>
      </c>
      <c r="E315" s="1" t="s">
        <v>24</v>
      </c>
      <c r="F315" s="1" t="s">
        <v>93</v>
      </c>
      <c r="G315" s="1">
        <v>50</v>
      </c>
      <c r="H315" s="1" t="s">
        <v>38</v>
      </c>
      <c r="I315" s="1" t="s">
        <v>51</v>
      </c>
      <c r="J315" s="5">
        <v>44279</v>
      </c>
      <c r="K315" s="8">
        <v>13.4</v>
      </c>
      <c r="L315" s="11">
        <v>2186403</v>
      </c>
      <c r="M315" s="12">
        <v>9.2499999999999999E-2</v>
      </c>
      <c r="N315" s="7">
        <v>5</v>
      </c>
      <c r="O315" s="1" t="s">
        <v>76</v>
      </c>
      <c r="P315" s="1">
        <v>7359873139</v>
      </c>
      <c r="Q315" s="1" t="s">
        <v>2836</v>
      </c>
      <c r="R315" s="10">
        <v>48</v>
      </c>
      <c r="S315" s="10">
        <v>22</v>
      </c>
      <c r="T315" s="1" t="s">
        <v>1100</v>
      </c>
      <c r="U315" t="str">
        <f t="shared" si="24"/>
        <v>Valid</v>
      </c>
      <c r="V315">
        <f t="shared" si="25"/>
        <v>3</v>
      </c>
      <c r="W315" t="str">
        <f t="shared" si="26"/>
        <v>Mar</v>
      </c>
      <c r="X315">
        <f t="shared" si="27"/>
        <v>2021</v>
      </c>
      <c r="Y315">
        <f t="shared" ca="1" si="28"/>
        <v>4</v>
      </c>
      <c r="Z315" t="str" cm="1">
        <f t="array" ref="Z315">_xlfn.IFS(G315&lt;30,"20-29",G315&lt;40,"30-39",G315&lt;50,"40-49",G315&gt;=50,"50+")</f>
        <v>50+</v>
      </c>
      <c r="AA315" t="str" cm="1">
        <f t="array" ref="AA315">_xlfn.IFS(L315&lt;500000,"Band 1: &lt;5L", L315&lt;1000000,"Band 2: 5-10L", L315&lt;1500000,"Band 3: 10-15L", L315&lt;2000000,"Band 4: 15-20L", L315&gt;=2000000,"Band 5: 20L+")</f>
        <v>Band 5: 20L+</v>
      </c>
      <c r="AB315" t="str" cm="1">
        <f t="array" ref="AB315">_xlfn.IFS(N315=1,"Poor", N315=2,"Below Average", N315=3,"Average", N315=4,"Good", N315=5,"Excellent")</f>
        <v>Excellent</v>
      </c>
      <c r="AC315" s="14">
        <f t="shared" si="29"/>
        <v>202242.2775</v>
      </c>
      <c r="AD315" t="str" cm="1">
        <f t="array" ref="AD315">_xlfn.IFS(K315&lt;2,"Junior (0-2 yrs)", K315&lt;5,"Mid-Level (2-5 yrs)", K315&lt;10,"Senior (5-10 yrs)", K315&gt;=10,"Expert (10+ yrs)")</f>
        <v>Expert (10+ yrs)</v>
      </c>
    </row>
    <row r="316" spans="1:30" x14ac:dyDescent="0.3">
      <c r="A316" s="1" t="s">
        <v>2393</v>
      </c>
      <c r="B316" s="1" t="s">
        <v>2394</v>
      </c>
      <c r="C316" s="1" t="s">
        <v>124</v>
      </c>
      <c r="D316" s="1" t="s">
        <v>83</v>
      </c>
      <c r="E316" s="1" t="s">
        <v>168</v>
      </c>
      <c r="F316" s="1" t="s">
        <v>93</v>
      </c>
      <c r="G316" s="1">
        <v>38</v>
      </c>
      <c r="H316" s="1" t="s">
        <v>103</v>
      </c>
      <c r="I316" s="1" t="s">
        <v>39</v>
      </c>
      <c r="J316" s="5">
        <v>40795</v>
      </c>
      <c r="K316" s="8">
        <v>2.6</v>
      </c>
      <c r="L316" s="11">
        <v>2423316</v>
      </c>
      <c r="M316" s="12">
        <v>8.4900000000000003E-2</v>
      </c>
      <c r="N316" s="7">
        <v>5</v>
      </c>
      <c r="O316" s="1" t="s">
        <v>41</v>
      </c>
      <c r="P316" s="1">
        <v>8619547472</v>
      </c>
      <c r="Q316" s="1" t="s">
        <v>2837</v>
      </c>
      <c r="R316" s="10">
        <v>58</v>
      </c>
      <c r="S316" s="10">
        <v>110</v>
      </c>
      <c r="T316" s="1" t="s">
        <v>543</v>
      </c>
      <c r="U316" t="str">
        <f t="shared" si="24"/>
        <v>Invalid</v>
      </c>
      <c r="V316">
        <f t="shared" si="25"/>
        <v>9</v>
      </c>
      <c r="W316" t="str">
        <f t="shared" si="26"/>
        <v>Sep</v>
      </c>
      <c r="X316">
        <f t="shared" si="27"/>
        <v>2011</v>
      </c>
      <c r="Y316">
        <f t="shared" ca="1" si="28"/>
        <v>14</v>
      </c>
      <c r="Z316" t="str" cm="1">
        <f t="array" ref="Z316">_xlfn.IFS(G316&lt;30,"20-29",G316&lt;40,"30-39",G316&lt;50,"40-49",G316&gt;=50,"50+")</f>
        <v>30-39</v>
      </c>
      <c r="AA316" t="str" cm="1">
        <f t="array" ref="AA316">_xlfn.IFS(L316&lt;500000,"Band 1: &lt;5L", L316&lt;1000000,"Band 2: 5-10L", L316&lt;1500000,"Band 3: 10-15L", L316&lt;2000000,"Band 4: 15-20L", L316&gt;=2000000,"Band 5: 20L+")</f>
        <v>Band 5: 20L+</v>
      </c>
      <c r="AB316" t="str" cm="1">
        <f t="array" ref="AB316">_xlfn.IFS(N316=1,"Poor", N316=2,"Below Average", N316=3,"Average", N316=4,"Good", N316=5,"Excellent")</f>
        <v>Excellent</v>
      </c>
      <c r="AC316" s="14">
        <f t="shared" si="29"/>
        <v>205739.52840000001</v>
      </c>
      <c r="AD316" t="str" cm="1">
        <f t="array" ref="AD316">_xlfn.IFS(K316&lt;2,"Junior (0-2 yrs)", K316&lt;5,"Mid-Level (2-5 yrs)", K316&lt;10,"Senior (5-10 yrs)", K316&gt;=10,"Expert (10+ yrs)")</f>
        <v>Mid-Level (2-5 yrs)</v>
      </c>
    </row>
    <row r="317" spans="1:30" x14ac:dyDescent="0.3">
      <c r="A317" s="1" t="s">
        <v>2413</v>
      </c>
      <c r="B317" s="1" t="s">
        <v>2414</v>
      </c>
      <c r="C317" s="1" t="s">
        <v>69</v>
      </c>
      <c r="D317" s="1" t="s">
        <v>83</v>
      </c>
      <c r="E317" s="1" t="s">
        <v>24</v>
      </c>
      <c r="F317" s="1" t="s">
        <v>93</v>
      </c>
      <c r="G317" s="1">
        <v>49</v>
      </c>
      <c r="H317" s="1" t="s">
        <v>142</v>
      </c>
      <c r="I317" s="1" t="s">
        <v>27</v>
      </c>
      <c r="J317" s="5">
        <v>42576</v>
      </c>
      <c r="K317" s="8">
        <v>22.9</v>
      </c>
      <c r="L317" s="11">
        <v>1671912</v>
      </c>
      <c r="M317" s="12">
        <v>0.23879999999999998</v>
      </c>
      <c r="N317" s="7">
        <v>4</v>
      </c>
      <c r="O317" s="1" t="s">
        <v>76</v>
      </c>
      <c r="P317" s="1">
        <v>8361384034</v>
      </c>
      <c r="Q317" s="1" t="s">
        <v>2555</v>
      </c>
      <c r="R317" s="10">
        <v>35</v>
      </c>
      <c r="S317" s="10">
        <v>107</v>
      </c>
      <c r="T317" s="1" t="s">
        <v>115</v>
      </c>
      <c r="U317" t="str">
        <f t="shared" si="24"/>
        <v>Invalid</v>
      </c>
      <c r="V317">
        <f t="shared" si="25"/>
        <v>7</v>
      </c>
      <c r="W317" t="str">
        <f t="shared" si="26"/>
        <v>Jul</v>
      </c>
      <c r="X317">
        <f t="shared" si="27"/>
        <v>2016</v>
      </c>
      <c r="Y317">
        <f t="shared" ca="1" si="28"/>
        <v>9</v>
      </c>
      <c r="Z317" t="str" cm="1">
        <f t="array" ref="Z317">_xlfn.IFS(G317&lt;30,"20-29",G317&lt;40,"30-39",G317&lt;50,"40-49",G317&gt;=50,"50+")</f>
        <v>40-49</v>
      </c>
      <c r="AA317" t="str" cm="1">
        <f t="array" ref="AA317">_xlfn.IFS(L317&lt;500000,"Band 1: &lt;5L", L317&lt;1000000,"Band 2: 5-10L", L317&lt;1500000,"Band 3: 10-15L", L317&lt;2000000,"Band 4: 15-20L", L317&gt;=2000000,"Band 5: 20L+")</f>
        <v>Band 4: 15-20L</v>
      </c>
      <c r="AB317" t="str" cm="1">
        <f t="array" ref="AB317">_xlfn.IFS(N317=1,"Poor", N317=2,"Below Average", N317=3,"Average", N317=4,"Good", N317=5,"Excellent")</f>
        <v>Good</v>
      </c>
      <c r="AC317" s="14">
        <f t="shared" si="29"/>
        <v>399252.58559999999</v>
      </c>
      <c r="AD317" t="str" cm="1">
        <f t="array" ref="AD317">_xlfn.IFS(K317&lt;2,"Junior (0-2 yrs)", K317&lt;5,"Mid-Level (2-5 yrs)", K317&lt;10,"Senior (5-10 yrs)", K317&gt;=10,"Expert (10+ yrs)")</f>
        <v>Expert (10+ yrs)</v>
      </c>
    </row>
    <row r="318" spans="1:30" x14ac:dyDescent="0.3">
      <c r="A318" s="1" t="s">
        <v>2422</v>
      </c>
      <c r="B318" s="1" t="s">
        <v>410</v>
      </c>
      <c r="C318" s="1" t="s">
        <v>46</v>
      </c>
      <c r="D318" s="1" t="s">
        <v>244</v>
      </c>
      <c r="E318" s="1" t="s">
        <v>189</v>
      </c>
      <c r="F318" s="1" t="s">
        <v>93</v>
      </c>
      <c r="G318" s="1">
        <v>47</v>
      </c>
      <c r="H318" s="1" t="s">
        <v>204</v>
      </c>
      <c r="I318" s="1" t="s">
        <v>27</v>
      </c>
      <c r="J318" s="5">
        <v>43043</v>
      </c>
      <c r="K318" s="8">
        <v>26.8</v>
      </c>
      <c r="L318" s="11">
        <v>625155</v>
      </c>
      <c r="M318" s="12">
        <v>0.24590000000000001</v>
      </c>
      <c r="N318" s="7">
        <v>3</v>
      </c>
      <c r="O318" s="1" t="s">
        <v>41</v>
      </c>
      <c r="P318" s="1">
        <v>8661083050</v>
      </c>
      <c r="Q318" s="1" t="s">
        <v>2838</v>
      </c>
      <c r="R318" s="10">
        <v>47</v>
      </c>
      <c r="S318" s="10">
        <v>56</v>
      </c>
      <c r="T318" s="1" t="s">
        <v>1274</v>
      </c>
      <c r="U318" t="str">
        <f t="shared" si="24"/>
        <v>Invalid</v>
      </c>
      <c r="V318">
        <f t="shared" si="25"/>
        <v>11</v>
      </c>
      <c r="W318" t="str">
        <f t="shared" si="26"/>
        <v>Nov</v>
      </c>
      <c r="X318">
        <f t="shared" si="27"/>
        <v>2017</v>
      </c>
      <c r="Y318">
        <f t="shared" ca="1" si="28"/>
        <v>8</v>
      </c>
      <c r="Z318" t="str" cm="1">
        <f t="array" ref="Z318">_xlfn.IFS(G318&lt;30,"20-29",G318&lt;40,"30-39",G318&lt;50,"40-49",G318&gt;=50,"50+")</f>
        <v>40-49</v>
      </c>
      <c r="AA318" t="str" cm="1">
        <f t="array" ref="AA318">_xlfn.IFS(L318&lt;500000,"Band 1: &lt;5L", L318&lt;1000000,"Band 2: 5-10L", L318&lt;1500000,"Band 3: 10-15L", L318&lt;2000000,"Band 4: 15-20L", L318&gt;=2000000,"Band 5: 20L+")</f>
        <v>Band 2: 5-10L</v>
      </c>
      <c r="AB318" t="str" cm="1">
        <f t="array" ref="AB318">_xlfn.IFS(N318=1,"Poor", N318=2,"Below Average", N318=3,"Average", N318=4,"Good", N318=5,"Excellent")</f>
        <v>Average</v>
      </c>
      <c r="AC318" s="14">
        <f t="shared" si="29"/>
        <v>153725.6145</v>
      </c>
      <c r="AD318" t="str" cm="1">
        <f t="array" ref="AD318">_xlfn.IFS(K318&lt;2,"Junior (0-2 yrs)", K318&lt;5,"Mid-Level (2-5 yrs)", K318&lt;10,"Senior (5-10 yrs)", K318&gt;=10,"Expert (10+ yrs)")</f>
        <v>Expert (10+ yrs)</v>
      </c>
    </row>
    <row r="319" spans="1:30" x14ac:dyDescent="0.3">
      <c r="A319" s="1" t="s">
        <v>767</v>
      </c>
      <c r="B319" s="1" t="s">
        <v>2439</v>
      </c>
      <c r="C319" s="1" t="s">
        <v>197</v>
      </c>
      <c r="D319" s="1" t="s">
        <v>111</v>
      </c>
      <c r="E319" s="1" t="s">
        <v>24</v>
      </c>
      <c r="F319" s="1" t="s">
        <v>37</v>
      </c>
      <c r="G319" s="1">
        <v>38</v>
      </c>
      <c r="H319" s="1" t="s">
        <v>204</v>
      </c>
      <c r="I319" s="1" t="s">
        <v>51</v>
      </c>
      <c r="J319" s="5">
        <v>40588</v>
      </c>
      <c r="K319" s="8">
        <v>14.5</v>
      </c>
      <c r="L319" s="11">
        <v>940214</v>
      </c>
      <c r="M319" s="12">
        <v>0.16750000000000001</v>
      </c>
      <c r="N319" s="7">
        <v>3</v>
      </c>
      <c r="O319" s="1" t="s">
        <v>76</v>
      </c>
      <c r="P319" s="1">
        <v>7257616339</v>
      </c>
      <c r="Q319" s="1" t="s">
        <v>2839</v>
      </c>
      <c r="R319" s="10">
        <v>54</v>
      </c>
      <c r="S319" s="10">
        <v>92</v>
      </c>
      <c r="T319" s="1" t="s">
        <v>288</v>
      </c>
      <c r="U319" t="str">
        <f t="shared" si="24"/>
        <v>Valid</v>
      </c>
      <c r="V319">
        <f t="shared" si="25"/>
        <v>2</v>
      </c>
      <c r="W319" t="str">
        <f t="shared" si="26"/>
        <v>Feb</v>
      </c>
      <c r="X319">
        <f t="shared" si="27"/>
        <v>2011</v>
      </c>
      <c r="Y319">
        <f t="shared" ca="1" si="28"/>
        <v>15</v>
      </c>
      <c r="Z319" t="str" cm="1">
        <f t="array" ref="Z319">_xlfn.IFS(G319&lt;30,"20-29",G319&lt;40,"30-39",G319&lt;50,"40-49",G319&gt;=50,"50+")</f>
        <v>30-39</v>
      </c>
      <c r="AA319" t="str" cm="1">
        <f t="array" ref="AA319">_xlfn.IFS(L319&lt;500000,"Band 1: &lt;5L", L319&lt;1000000,"Band 2: 5-10L", L319&lt;1500000,"Band 3: 10-15L", L319&lt;2000000,"Band 4: 15-20L", L319&gt;=2000000,"Band 5: 20L+")</f>
        <v>Band 2: 5-10L</v>
      </c>
      <c r="AB319" t="str" cm="1">
        <f t="array" ref="AB319">_xlfn.IFS(N319=1,"Poor", N319=2,"Below Average", N319=3,"Average", N319=4,"Good", N319=5,"Excellent")</f>
        <v>Average</v>
      </c>
      <c r="AC319" s="14">
        <f t="shared" si="29"/>
        <v>157485.845</v>
      </c>
      <c r="AD319" t="str" cm="1">
        <f t="array" ref="AD319">_xlfn.IFS(K319&lt;2,"Junior (0-2 yrs)", K319&lt;5,"Mid-Level (2-5 yrs)", K319&lt;10,"Senior (5-10 yrs)", K319&gt;=10,"Expert (10+ yrs)")</f>
        <v>Expert (10+ yrs)</v>
      </c>
    </row>
    <row r="320" spans="1:30" x14ac:dyDescent="0.3">
      <c r="A320" s="1" t="s">
        <v>2443</v>
      </c>
      <c r="B320" s="1" t="s">
        <v>2444</v>
      </c>
      <c r="C320" s="1" t="s">
        <v>197</v>
      </c>
      <c r="D320" s="1" t="s">
        <v>244</v>
      </c>
      <c r="E320" s="1" t="s">
        <v>48</v>
      </c>
      <c r="F320" s="1" t="s">
        <v>93</v>
      </c>
      <c r="G320" s="1">
        <v>48</v>
      </c>
      <c r="H320" s="1" t="s">
        <v>38</v>
      </c>
      <c r="I320" s="1" t="s">
        <v>39</v>
      </c>
      <c r="J320" s="5">
        <v>44627</v>
      </c>
      <c r="K320" s="8">
        <v>16.899999999999999</v>
      </c>
      <c r="L320" s="11">
        <v>1446424</v>
      </c>
      <c r="M320" s="12">
        <v>7.5999999999999998E-2</v>
      </c>
      <c r="N320" s="7">
        <v>3</v>
      </c>
      <c r="O320" s="1" t="s">
        <v>41</v>
      </c>
      <c r="P320" s="1">
        <v>7181388972</v>
      </c>
      <c r="Q320" s="1" t="s">
        <v>2840</v>
      </c>
      <c r="R320" s="10">
        <v>59</v>
      </c>
      <c r="S320" s="10">
        <v>101</v>
      </c>
      <c r="T320" s="1" t="s">
        <v>32</v>
      </c>
      <c r="U320" t="str">
        <f t="shared" si="24"/>
        <v>Invalid</v>
      </c>
      <c r="V320">
        <f t="shared" si="25"/>
        <v>3</v>
      </c>
      <c r="W320" t="str">
        <f t="shared" si="26"/>
        <v>Mar</v>
      </c>
      <c r="X320">
        <f t="shared" si="27"/>
        <v>2022</v>
      </c>
      <c r="Y320">
        <f t="shared" ca="1" si="28"/>
        <v>4</v>
      </c>
      <c r="Z320" t="str" cm="1">
        <f t="array" ref="Z320">_xlfn.IFS(G320&lt;30,"20-29",G320&lt;40,"30-39",G320&lt;50,"40-49",G320&gt;=50,"50+")</f>
        <v>40-49</v>
      </c>
      <c r="AA320" t="str" cm="1">
        <f t="array" ref="AA320">_xlfn.IFS(L320&lt;500000,"Band 1: &lt;5L", L320&lt;1000000,"Band 2: 5-10L", L320&lt;1500000,"Band 3: 10-15L", L320&lt;2000000,"Band 4: 15-20L", L320&gt;=2000000,"Band 5: 20L+")</f>
        <v>Band 3: 10-15L</v>
      </c>
      <c r="AB320" t="str" cm="1">
        <f t="array" ref="AB320">_xlfn.IFS(N320=1,"Poor", N320=2,"Below Average", N320=3,"Average", N320=4,"Good", N320=5,"Excellent")</f>
        <v>Average</v>
      </c>
      <c r="AC320" s="14">
        <f t="shared" si="29"/>
        <v>109928.224</v>
      </c>
      <c r="AD320" t="str" cm="1">
        <f t="array" ref="AD320">_xlfn.IFS(K320&lt;2,"Junior (0-2 yrs)", K320&lt;5,"Mid-Level (2-5 yrs)", K320&lt;10,"Senior (5-10 yrs)", K320&gt;=10,"Expert (10+ yrs)")</f>
        <v>Expert (10+ yrs)</v>
      </c>
    </row>
    <row r="321" spans="1:30" x14ac:dyDescent="0.3">
      <c r="A321" s="1" t="s">
        <v>2448</v>
      </c>
      <c r="B321" s="1" t="s">
        <v>2449</v>
      </c>
      <c r="C321" s="1" t="s">
        <v>124</v>
      </c>
      <c r="D321" s="1" t="s">
        <v>231</v>
      </c>
      <c r="E321" s="1" t="s">
        <v>92</v>
      </c>
      <c r="F321" s="1" t="s">
        <v>93</v>
      </c>
      <c r="G321" s="1">
        <v>35</v>
      </c>
      <c r="H321" s="1" t="s">
        <v>103</v>
      </c>
      <c r="I321" s="1" t="s">
        <v>74</v>
      </c>
      <c r="J321" s="5">
        <v>42517</v>
      </c>
      <c r="K321" s="8">
        <v>0.8</v>
      </c>
      <c r="L321" s="11">
        <v>1443429</v>
      </c>
      <c r="M321" s="12">
        <v>0.11230000000000001</v>
      </c>
      <c r="N321" s="7">
        <v>4</v>
      </c>
      <c r="O321" s="1" t="s">
        <v>76</v>
      </c>
      <c r="P321" s="1">
        <v>9690956330</v>
      </c>
      <c r="Q321" s="1" t="s">
        <v>2841</v>
      </c>
      <c r="R321" s="10">
        <v>28</v>
      </c>
      <c r="S321" s="10">
        <v>14</v>
      </c>
      <c r="T321" s="1" t="s">
        <v>166</v>
      </c>
      <c r="U321" t="str">
        <f t="shared" si="24"/>
        <v>Invalid</v>
      </c>
      <c r="V321">
        <f t="shared" si="25"/>
        <v>5</v>
      </c>
      <c r="W321" t="str">
        <f t="shared" si="26"/>
        <v>May</v>
      </c>
      <c r="X321">
        <f t="shared" si="27"/>
        <v>2016</v>
      </c>
      <c r="Y321">
        <f t="shared" ca="1" si="28"/>
        <v>9</v>
      </c>
      <c r="Z321" t="str" cm="1">
        <f t="array" ref="Z321">_xlfn.IFS(G321&lt;30,"20-29",G321&lt;40,"30-39",G321&lt;50,"40-49",G321&gt;=50,"50+")</f>
        <v>30-39</v>
      </c>
      <c r="AA321" t="str" cm="1">
        <f t="array" ref="AA321">_xlfn.IFS(L321&lt;500000,"Band 1: &lt;5L", L321&lt;1000000,"Band 2: 5-10L", L321&lt;1500000,"Band 3: 10-15L", L321&lt;2000000,"Band 4: 15-20L", L321&gt;=2000000,"Band 5: 20L+")</f>
        <v>Band 3: 10-15L</v>
      </c>
      <c r="AB321" t="str" cm="1">
        <f t="array" ref="AB321">_xlfn.IFS(N321=1,"Poor", N321=2,"Below Average", N321=3,"Average", N321=4,"Good", N321=5,"Excellent")</f>
        <v>Good</v>
      </c>
      <c r="AC321" s="14">
        <f t="shared" si="29"/>
        <v>162097.07670000001</v>
      </c>
      <c r="AD321" t="str" cm="1">
        <f t="array" ref="AD321">_xlfn.IFS(K321&lt;2,"Junior (0-2 yrs)", K321&lt;5,"Mid-Level (2-5 yrs)", K321&lt;10,"Senior (5-10 yrs)", K321&gt;=10,"Expert (10+ yrs)")</f>
        <v>Junior (0-2 yrs)</v>
      </c>
    </row>
    <row r="322" spans="1:30" x14ac:dyDescent="0.3">
      <c r="A322" s="1" t="s">
        <v>2452</v>
      </c>
      <c r="B322" s="1" t="s">
        <v>2453</v>
      </c>
      <c r="C322" s="1" t="s">
        <v>69</v>
      </c>
      <c r="D322" s="1" t="s">
        <v>83</v>
      </c>
      <c r="E322" s="1" t="s">
        <v>189</v>
      </c>
      <c r="F322" s="1" t="s">
        <v>93</v>
      </c>
      <c r="G322" s="1">
        <v>53</v>
      </c>
      <c r="H322" s="1" t="s">
        <v>84</v>
      </c>
      <c r="I322" s="1" t="s">
        <v>27</v>
      </c>
      <c r="J322" s="5">
        <v>44058</v>
      </c>
      <c r="K322" s="8">
        <v>15.1</v>
      </c>
      <c r="L322" s="11">
        <v>324119</v>
      </c>
      <c r="M322" s="12">
        <v>0.1394</v>
      </c>
      <c r="N322" s="7">
        <v>2</v>
      </c>
      <c r="O322" s="1" t="s">
        <v>76</v>
      </c>
      <c r="P322" s="1">
        <v>8051035049</v>
      </c>
      <c r="Q322" s="1" t="s">
        <v>2842</v>
      </c>
      <c r="R322" s="10">
        <v>6</v>
      </c>
      <c r="S322" s="10">
        <v>7</v>
      </c>
      <c r="T322" s="1" t="s">
        <v>938</v>
      </c>
      <c r="U322" t="str">
        <f t="shared" si="24"/>
        <v>Invalid</v>
      </c>
      <c r="V322">
        <f t="shared" si="25"/>
        <v>8</v>
      </c>
      <c r="W322" t="str">
        <f t="shared" si="26"/>
        <v>Aug</v>
      </c>
      <c r="X322">
        <f t="shared" si="27"/>
        <v>2020</v>
      </c>
      <c r="Y322">
        <f t="shared" ca="1" si="28"/>
        <v>5</v>
      </c>
      <c r="Z322" t="str" cm="1">
        <f t="array" ref="Z322">_xlfn.IFS(G322&lt;30,"20-29",G322&lt;40,"30-39",G322&lt;50,"40-49",G322&gt;=50,"50+")</f>
        <v>50+</v>
      </c>
      <c r="AA322" t="str" cm="1">
        <f t="array" ref="AA322">_xlfn.IFS(L322&lt;500000,"Band 1: &lt;5L", L322&lt;1000000,"Band 2: 5-10L", L322&lt;1500000,"Band 3: 10-15L", L322&lt;2000000,"Band 4: 15-20L", L322&gt;=2000000,"Band 5: 20L+")</f>
        <v>Band 1: &lt;5L</v>
      </c>
      <c r="AB322" t="str" cm="1">
        <f t="array" ref="AB322">_xlfn.IFS(N322=1,"Poor", N322=2,"Below Average", N322=3,"Average", N322=4,"Good", N322=5,"Excellent")</f>
        <v>Below Average</v>
      </c>
      <c r="AC322" s="14">
        <f t="shared" si="29"/>
        <v>45182.188600000001</v>
      </c>
      <c r="AD322" t="str" cm="1">
        <f t="array" ref="AD322">_xlfn.IFS(K322&lt;2,"Junior (0-2 yrs)", K322&lt;5,"Mid-Level (2-5 yrs)", K322&lt;10,"Senior (5-10 yrs)", K322&gt;=10,"Expert (10+ yrs)")</f>
        <v>Expert (10+ yrs)</v>
      </c>
    </row>
    <row r="323" spans="1:30" x14ac:dyDescent="0.3">
      <c r="A323" s="1" t="s">
        <v>832</v>
      </c>
      <c r="B323" s="1" t="s">
        <v>2461</v>
      </c>
      <c r="C323" s="1" t="s">
        <v>197</v>
      </c>
      <c r="D323" s="1" t="s">
        <v>83</v>
      </c>
      <c r="E323" s="1" t="s">
        <v>24</v>
      </c>
      <c r="F323" s="1" t="s">
        <v>37</v>
      </c>
      <c r="G323" s="1">
        <v>50</v>
      </c>
      <c r="H323" s="1" t="s">
        <v>84</v>
      </c>
      <c r="I323" s="1" t="s">
        <v>74</v>
      </c>
      <c r="J323" s="5">
        <v>43360</v>
      </c>
      <c r="K323" s="8">
        <v>3.1</v>
      </c>
      <c r="L323" s="11">
        <v>1431482</v>
      </c>
      <c r="M323" s="12">
        <v>3.0999999999999999E-3</v>
      </c>
      <c r="N323" s="7">
        <v>1</v>
      </c>
      <c r="O323" s="1" t="s">
        <v>76</v>
      </c>
      <c r="P323" s="1">
        <v>7399707954</v>
      </c>
      <c r="Q323" s="1" t="s">
        <v>2843</v>
      </c>
      <c r="R323" s="10">
        <v>10</v>
      </c>
      <c r="S323" s="10">
        <v>71</v>
      </c>
      <c r="T323" s="1" t="s">
        <v>847</v>
      </c>
      <c r="U323" t="str">
        <f t="shared" si="24"/>
        <v>Valid</v>
      </c>
      <c r="V323">
        <f t="shared" ref="V323" si="30">MONTH(J323)</f>
        <v>9</v>
      </c>
      <c r="W323" t="str">
        <f t="shared" ref="W323" si="31">TEXT(J323, "MMM")</f>
        <v>Sep</v>
      </c>
      <c r="X323">
        <f t="shared" ref="X323" si="32">YEAR(J323)</f>
        <v>2018</v>
      </c>
      <c r="Y323">
        <f t="shared" ref="Y323" ca="1" si="33">DATEDIF(J323,TODAY(), "Y")</f>
        <v>7</v>
      </c>
      <c r="Z323" t="str" cm="1">
        <f t="array" ref="Z323">_xlfn.IFS(G323&lt;30,"20-29",G323&lt;40,"30-39",G323&lt;50,"40-49",G323&gt;=50,"50+")</f>
        <v>50+</v>
      </c>
      <c r="AA323" t="str" cm="1">
        <f t="array" ref="AA323">_xlfn.IFS(L323&lt;500000,"Band 1: &lt;5L", L323&lt;1000000,"Band 2: 5-10L", L323&lt;1500000,"Band 3: 10-15L", L323&lt;2000000,"Band 4: 15-20L", L323&gt;=2000000,"Band 5: 20L+")</f>
        <v>Band 3: 10-15L</v>
      </c>
      <c r="AB323" t="str" cm="1">
        <f t="array" ref="AB323">_xlfn.IFS(N323=1,"Poor", N323=2,"Below Average", N323=3,"Average", N323=4,"Good", N323=5,"Excellent")</f>
        <v>Poor</v>
      </c>
      <c r="AC323" s="14">
        <f t="shared" ref="AC323" si="34">L323*M323</f>
        <v>4437.5941999999995</v>
      </c>
      <c r="AD323" t="str" cm="1">
        <f t="array" ref="AD323">_xlfn.IFS(K323&lt;2,"Junior (0-2 yrs)", K323&lt;5,"Mid-Level (2-5 yrs)", K323&lt;10,"Senior (5-10 yrs)", K323&gt;=10,"Expert (10+ yrs)")</f>
        <v>Mid-Level (2-5 yrs)</v>
      </c>
    </row>
    <row r="324" spans="1:30" x14ac:dyDescent="0.3">
      <c r="J324"/>
      <c r="K324"/>
    </row>
    <row r="325" spans="1:30" x14ac:dyDescent="0.3">
      <c r="J325"/>
      <c r="K325"/>
    </row>
    <row r="326" spans="1:30" x14ac:dyDescent="0.3">
      <c r="J326"/>
      <c r="K326"/>
    </row>
    <row r="327" spans="1:30" x14ac:dyDescent="0.3">
      <c r="J327"/>
      <c r="K327"/>
    </row>
    <row r="328" spans="1:30" x14ac:dyDescent="0.3">
      <c r="J328"/>
      <c r="K328"/>
    </row>
    <row r="329" spans="1:30" x14ac:dyDescent="0.3">
      <c r="J329"/>
      <c r="K329"/>
    </row>
    <row r="330" spans="1:30" x14ac:dyDescent="0.3">
      <c r="J330"/>
      <c r="K330"/>
    </row>
    <row r="331" spans="1:30" x14ac:dyDescent="0.3">
      <c r="J331"/>
      <c r="K331"/>
    </row>
    <row r="332" spans="1:30" x14ac:dyDescent="0.3">
      <c r="J332"/>
      <c r="K332"/>
    </row>
    <row r="333" spans="1:30" x14ac:dyDescent="0.3">
      <c r="J333"/>
      <c r="K333"/>
    </row>
    <row r="334" spans="1:30" x14ac:dyDescent="0.3">
      <c r="J334"/>
      <c r="K334"/>
    </row>
    <row r="335" spans="1:30" x14ac:dyDescent="0.3">
      <c r="J335"/>
      <c r="K335"/>
    </row>
    <row r="336" spans="1:30" x14ac:dyDescent="0.3">
      <c r="J336"/>
      <c r="K336"/>
    </row>
    <row r="337" spans="10:11" x14ac:dyDescent="0.3">
      <c r="J337"/>
      <c r="K337"/>
    </row>
    <row r="338" spans="10:11" x14ac:dyDescent="0.3">
      <c r="J338"/>
      <c r="K338"/>
    </row>
    <row r="339" spans="10:11" x14ac:dyDescent="0.3">
      <c r="J339"/>
      <c r="K339"/>
    </row>
    <row r="340" spans="10:11" x14ac:dyDescent="0.3">
      <c r="J340"/>
      <c r="K340"/>
    </row>
    <row r="341" spans="10:11" x14ac:dyDescent="0.3">
      <c r="J341"/>
      <c r="K341"/>
    </row>
    <row r="342" spans="10:11" x14ac:dyDescent="0.3">
      <c r="J342"/>
      <c r="K342"/>
    </row>
    <row r="343" spans="10:11" x14ac:dyDescent="0.3">
      <c r="J343"/>
      <c r="K343"/>
    </row>
    <row r="344" spans="10:11" x14ac:dyDescent="0.3">
      <c r="J344"/>
      <c r="K344"/>
    </row>
    <row r="345" spans="10:11" x14ac:dyDescent="0.3">
      <c r="J345"/>
      <c r="K345"/>
    </row>
    <row r="346" spans="10:11" x14ac:dyDescent="0.3">
      <c r="J346"/>
      <c r="K346"/>
    </row>
    <row r="347" spans="10:11" x14ac:dyDescent="0.3">
      <c r="J347"/>
      <c r="K347"/>
    </row>
    <row r="348" spans="10:11" x14ac:dyDescent="0.3">
      <c r="J348"/>
      <c r="K348"/>
    </row>
    <row r="349" spans="10:11" x14ac:dyDescent="0.3">
      <c r="J349"/>
      <c r="K349"/>
    </row>
    <row r="350" spans="10:11" x14ac:dyDescent="0.3">
      <c r="J350"/>
      <c r="K350"/>
    </row>
    <row r="351" spans="10:11" x14ac:dyDescent="0.3">
      <c r="J351"/>
      <c r="K351"/>
    </row>
    <row r="352" spans="10:11" x14ac:dyDescent="0.3">
      <c r="J352"/>
      <c r="K352"/>
    </row>
    <row r="353" spans="10:11" x14ac:dyDescent="0.3">
      <c r="J353"/>
      <c r="K353"/>
    </row>
    <row r="354" spans="10:11" x14ac:dyDescent="0.3">
      <c r="J354"/>
      <c r="K354"/>
    </row>
    <row r="355" spans="10:11" x14ac:dyDescent="0.3">
      <c r="J355"/>
      <c r="K355"/>
    </row>
    <row r="356" spans="10:11" x14ac:dyDescent="0.3">
      <c r="J356"/>
      <c r="K356"/>
    </row>
    <row r="357" spans="10:11" x14ac:dyDescent="0.3">
      <c r="J357"/>
      <c r="K357"/>
    </row>
    <row r="358" spans="10:11" x14ac:dyDescent="0.3">
      <c r="J358"/>
      <c r="K358"/>
    </row>
    <row r="359" spans="10:11" x14ac:dyDescent="0.3">
      <c r="J359"/>
      <c r="K359"/>
    </row>
    <row r="360" spans="10:11" x14ac:dyDescent="0.3">
      <c r="J360"/>
      <c r="K360"/>
    </row>
    <row r="361" spans="10:11" x14ac:dyDescent="0.3">
      <c r="J361"/>
      <c r="K361"/>
    </row>
  </sheetData>
  <pageMargins left="0.75" right="0.75" top="1" bottom="1" header="0.5" footer="0.5"/>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80498-1548-4A18-A191-021F5979E842}">
  <sheetPr>
    <tabColor rgb="FF7030A0"/>
  </sheetPr>
  <dimension ref="A1:K8"/>
  <sheetViews>
    <sheetView workbookViewId="0">
      <selection activeCell="N3" sqref="N3"/>
    </sheetView>
  </sheetViews>
  <sheetFormatPr defaultRowHeight="14.4" x14ac:dyDescent="0.3"/>
  <cols>
    <col min="1" max="1" width="16.109375" bestFit="1" customWidth="1"/>
    <col min="2" max="2" width="10.33203125" bestFit="1" customWidth="1"/>
    <col min="4" max="4" width="12.77734375" bestFit="1" customWidth="1"/>
    <col min="5" max="5" width="10.21875" bestFit="1" customWidth="1"/>
    <col min="6" max="6" width="10.33203125" bestFit="1" customWidth="1"/>
    <col min="7" max="7" width="13.6640625" bestFit="1" customWidth="1"/>
    <col min="9" max="9" width="12.88671875" bestFit="1" customWidth="1"/>
  </cols>
  <sheetData>
    <row r="1" spans="1:11" x14ac:dyDescent="0.3">
      <c r="A1" s="31" t="s">
        <v>2863</v>
      </c>
      <c r="B1" s="31"/>
      <c r="D1" s="26" t="s">
        <v>2860</v>
      </c>
      <c r="E1" s="26" t="s">
        <v>2861</v>
      </c>
      <c r="F1" s="26" t="s">
        <v>2862</v>
      </c>
      <c r="G1" s="26" t="s">
        <v>2855</v>
      </c>
      <c r="I1" s="32" t="s">
        <v>2864</v>
      </c>
      <c r="J1" s="32"/>
      <c r="K1" s="32"/>
    </row>
    <row r="2" spans="1:11" x14ac:dyDescent="0.3">
      <c r="A2" s="21" t="s">
        <v>2853</v>
      </c>
      <c r="B2" s="22">
        <f>COUNTA(WORKING_DATA!A2:A2000)</f>
        <v>322</v>
      </c>
      <c r="D2" s="21" t="s">
        <v>46</v>
      </c>
      <c r="E2" s="22">
        <f>COUNTIF(WORKING_DATA!$C:$C,$D2)</f>
        <v>42</v>
      </c>
      <c r="F2" s="25">
        <f>AVERAGEIF(WORKING_DATA!$C:$C,$D2,WORKING_DATA!$L:$L)</f>
        <v>1305434.8333333333</v>
      </c>
      <c r="G2" s="22">
        <f>COUNTIFS(WORKING_DATA!$C:$C,$D2,WORKING_DATA!$O:$O,"Yes")</f>
        <v>16</v>
      </c>
      <c r="I2" s="21" t="s">
        <v>93</v>
      </c>
      <c r="J2" s="21">
        <f>COUNTIF(Dataset[Gender],HR_SUMMARY!$I2)</f>
        <v>151</v>
      </c>
      <c r="K2" s="27">
        <f>IFERROR((J2/$B$2)*100,0)/100</f>
        <v>0.46894409937888198</v>
      </c>
    </row>
    <row r="3" spans="1:11" x14ac:dyDescent="0.3">
      <c r="A3" s="21" t="s">
        <v>2854</v>
      </c>
      <c r="B3" s="22">
        <f>COUNTIF(WORKING_DATA!I:I,"Active")</f>
        <v>133</v>
      </c>
      <c r="D3" s="21" t="s">
        <v>197</v>
      </c>
      <c r="E3" s="22">
        <f>COUNTIF(WORKING_DATA!$C:$C,$D3)</f>
        <v>46</v>
      </c>
      <c r="F3" s="25">
        <f>AVERAGEIF(WORKING_DATA!$C:$C,$D3,WORKING_DATA!$L:$L)</f>
        <v>1371317</v>
      </c>
      <c r="G3" s="22">
        <f>COUNTIFS(WORKING_DATA!$C:$C,$D3,WORKING_DATA!$O:$O,"Yes")</f>
        <v>17</v>
      </c>
      <c r="I3" s="21" t="s">
        <v>37</v>
      </c>
      <c r="J3" s="21">
        <f>COUNTIF(Dataset[Gender],HR_SUMMARY!$I3)</f>
        <v>171</v>
      </c>
      <c r="K3" s="27">
        <f>IFERROR((J3/$B$2)*100,0)/100</f>
        <v>0.53105590062111796</v>
      </c>
    </row>
    <row r="4" spans="1:11" x14ac:dyDescent="0.3">
      <c r="A4" s="21" t="s">
        <v>2855</v>
      </c>
      <c r="B4" s="22">
        <f>COUNTIF(WORKING_DATA!O:O,"Yes")</f>
        <v>100</v>
      </c>
      <c r="D4" s="21" t="s">
        <v>132</v>
      </c>
      <c r="E4" s="22">
        <f>COUNTIF(WORKING_DATA!$C:$C,$D4)</f>
        <v>25</v>
      </c>
      <c r="F4" s="25">
        <f>AVERAGEIF(WORKING_DATA!$C:$C,$D4,WORKING_DATA!$L:$L)</f>
        <v>1484572.16</v>
      </c>
      <c r="G4" s="22">
        <f>COUNTIFS(WORKING_DATA!$C:$C,$D4,WORKING_DATA!$O:$O,"Yes")</f>
        <v>5</v>
      </c>
    </row>
    <row r="5" spans="1:11" x14ac:dyDescent="0.3">
      <c r="A5" s="21" t="s">
        <v>2856</v>
      </c>
      <c r="B5" s="23">
        <f>IFERROR(B4/B2*100,0)</f>
        <v>31.05590062111801</v>
      </c>
      <c r="D5" s="21" t="s">
        <v>110</v>
      </c>
      <c r="E5" s="22">
        <f>COUNTIF(WORKING_DATA!$C:$C,$D5)</f>
        <v>37</v>
      </c>
      <c r="F5" s="25">
        <f>AVERAGEIF(WORKING_DATA!$C:$C,$D5,WORKING_DATA!$L:$L)</f>
        <v>1456657.5135135136</v>
      </c>
      <c r="G5" s="22">
        <f>COUNTIFS(WORKING_DATA!$C:$C,$D5,WORKING_DATA!$O:$O,"Yes")</f>
        <v>9</v>
      </c>
    </row>
    <row r="6" spans="1:11" x14ac:dyDescent="0.3">
      <c r="A6" s="21" t="s">
        <v>2857</v>
      </c>
      <c r="B6" s="24">
        <f>AVERAGEIF(WORKING_DATA!G:G,"&gt;"&amp;0)</f>
        <v>40.130434782608695</v>
      </c>
      <c r="D6" s="21" t="s">
        <v>58</v>
      </c>
      <c r="E6" s="22">
        <f>COUNTIF(WORKING_DATA!$C:$C,$D6)</f>
        <v>55</v>
      </c>
      <c r="F6" s="25">
        <f>AVERAGEIF(WORKING_DATA!$C:$C,$D6,WORKING_DATA!$L:$L)</f>
        <v>1385380.1272727272</v>
      </c>
      <c r="G6" s="22">
        <f>COUNTIFS(WORKING_DATA!$C:$C,$D6,WORKING_DATA!$O:$O,"Yes")</f>
        <v>14</v>
      </c>
    </row>
    <row r="7" spans="1:11" x14ac:dyDescent="0.3">
      <c r="A7" s="21" t="s">
        <v>2858</v>
      </c>
      <c r="B7" s="24">
        <f ca="1">AVERAGE(WORKING_DATA!Y:Y)</f>
        <v>8.145962732919255</v>
      </c>
      <c r="D7" s="21" t="s">
        <v>69</v>
      </c>
      <c r="E7" s="22">
        <f>COUNTIF(WORKING_DATA!$C:$C,$D7)</f>
        <v>75</v>
      </c>
      <c r="F7" s="25">
        <f>AVERAGEIF(WORKING_DATA!$C:$C,$D7,WORKING_DATA!$L:$L)</f>
        <v>1514842.1866666668</v>
      </c>
      <c r="G7" s="22">
        <f>COUNTIFS(WORKING_DATA!$C:$C,$D7,WORKING_DATA!$O:$O,"Yes")</f>
        <v>27</v>
      </c>
    </row>
    <row r="8" spans="1:11" x14ac:dyDescent="0.3">
      <c r="A8" s="21" t="s">
        <v>2859</v>
      </c>
      <c r="B8" s="25">
        <f>AVERAGEIF(WORKING_DATA!L:L,"&gt;"&amp;0)</f>
        <v>1419754.4161490684</v>
      </c>
    </row>
  </sheetData>
  <mergeCells count="2">
    <mergeCell ref="A1:B1"/>
    <mergeCell ref="I1:K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C501F-6787-4474-8862-D6EE5993ACB4}">
  <sheetPr>
    <tabColor rgb="FF002060"/>
  </sheetPr>
  <dimension ref="B2:X11"/>
  <sheetViews>
    <sheetView tabSelected="1" workbookViewId="0">
      <selection activeCell="AA3" sqref="AA3"/>
    </sheetView>
  </sheetViews>
  <sheetFormatPr defaultRowHeight="14.4" x14ac:dyDescent="0.3"/>
  <cols>
    <col min="2" max="2" width="13.33203125" bestFit="1" customWidth="1"/>
    <col min="3" max="3" width="18.109375" bestFit="1" customWidth="1"/>
    <col min="5" max="5" width="15.77734375" bestFit="1" customWidth="1"/>
    <col min="6" max="7" width="10.21875" bestFit="1" customWidth="1"/>
    <col min="8" max="8" width="10.77734375" bestFit="1" customWidth="1"/>
    <col min="10" max="10" width="22.33203125" bestFit="1" customWidth="1"/>
    <col min="11" max="11" width="18.109375" bestFit="1" customWidth="1"/>
    <col min="13" max="13" width="18.109375" bestFit="1" customWidth="1"/>
    <col min="14" max="15" width="9.33203125" bestFit="1" customWidth="1"/>
    <col min="16" max="16" width="10.77734375" bestFit="1" customWidth="1"/>
    <col min="18" max="18" width="20.5546875" bestFit="1" customWidth="1"/>
    <col min="19" max="23" width="13.44140625" bestFit="1" customWidth="1"/>
    <col min="24" max="24" width="10.77734375" bestFit="1" customWidth="1"/>
  </cols>
  <sheetData>
    <row r="2" spans="2:24" x14ac:dyDescent="0.3">
      <c r="B2" s="28" t="s">
        <v>2</v>
      </c>
      <c r="C2" t="s">
        <v>2866</v>
      </c>
      <c r="E2" s="28" t="s">
        <v>2867</v>
      </c>
      <c r="F2" s="28" t="s">
        <v>14</v>
      </c>
      <c r="J2" s="28" t="s">
        <v>2873</v>
      </c>
      <c r="K2" t="s">
        <v>2866</v>
      </c>
      <c r="M2" s="28" t="s">
        <v>2866</v>
      </c>
      <c r="N2" s="28" t="s">
        <v>5</v>
      </c>
      <c r="R2" s="28" t="s">
        <v>2866</v>
      </c>
      <c r="S2" s="28" t="s">
        <v>2884</v>
      </c>
    </row>
    <row r="3" spans="2:24" x14ac:dyDescent="0.3">
      <c r="B3" t="s">
        <v>46</v>
      </c>
      <c r="C3" s="20">
        <v>42</v>
      </c>
      <c r="E3" s="28" t="s">
        <v>2</v>
      </c>
      <c r="F3" t="s">
        <v>41</v>
      </c>
      <c r="G3" t="s">
        <v>76</v>
      </c>
      <c r="H3" t="s">
        <v>2865</v>
      </c>
      <c r="J3" t="s">
        <v>2868</v>
      </c>
      <c r="K3" s="20">
        <v>103</v>
      </c>
      <c r="M3" s="28" t="s">
        <v>3</v>
      </c>
      <c r="N3" t="s">
        <v>37</v>
      </c>
      <c r="O3" t="s">
        <v>93</v>
      </c>
      <c r="P3" t="s">
        <v>2865</v>
      </c>
      <c r="R3" s="28" t="s">
        <v>2883</v>
      </c>
      <c r="S3" t="s">
        <v>2878</v>
      </c>
      <c r="T3" t="s">
        <v>2879</v>
      </c>
      <c r="U3" t="s">
        <v>2880</v>
      </c>
      <c r="V3" t="s">
        <v>2881</v>
      </c>
      <c r="W3" t="s">
        <v>2882</v>
      </c>
      <c r="X3" t="s">
        <v>2865</v>
      </c>
    </row>
    <row r="4" spans="2:24" x14ac:dyDescent="0.3">
      <c r="B4" t="s">
        <v>197</v>
      </c>
      <c r="C4" s="20">
        <v>46</v>
      </c>
      <c r="E4" t="s">
        <v>46</v>
      </c>
      <c r="F4" s="20">
        <v>26</v>
      </c>
      <c r="G4" s="20">
        <v>16</v>
      </c>
      <c r="H4" s="20">
        <v>42</v>
      </c>
      <c r="J4" t="s">
        <v>2869</v>
      </c>
      <c r="K4" s="20">
        <v>30</v>
      </c>
      <c r="M4" t="s">
        <v>23</v>
      </c>
      <c r="N4" s="20">
        <v>48</v>
      </c>
      <c r="O4" s="20">
        <v>35</v>
      </c>
      <c r="P4" s="20">
        <v>83</v>
      </c>
      <c r="R4" t="s">
        <v>2874</v>
      </c>
      <c r="S4" s="20">
        <v>21</v>
      </c>
      <c r="T4" s="20">
        <v>51</v>
      </c>
      <c r="U4" s="20">
        <v>49</v>
      </c>
      <c r="V4" s="20">
        <v>50</v>
      </c>
      <c r="W4" s="20">
        <v>48</v>
      </c>
      <c r="X4" s="20">
        <v>219</v>
      </c>
    </row>
    <row r="5" spans="2:24" x14ac:dyDescent="0.3">
      <c r="B5" t="s">
        <v>124</v>
      </c>
      <c r="C5" s="20">
        <v>42</v>
      </c>
      <c r="E5" t="s">
        <v>197</v>
      </c>
      <c r="F5" s="20">
        <v>29</v>
      </c>
      <c r="G5" s="20">
        <v>17</v>
      </c>
      <c r="H5" s="20">
        <v>46</v>
      </c>
      <c r="J5" t="s">
        <v>2870</v>
      </c>
      <c r="K5" s="20">
        <v>73</v>
      </c>
      <c r="M5" t="s">
        <v>111</v>
      </c>
      <c r="N5" s="20">
        <v>14</v>
      </c>
      <c r="O5" s="20">
        <v>13</v>
      </c>
      <c r="P5" s="20">
        <v>27</v>
      </c>
      <c r="R5" t="s">
        <v>2875</v>
      </c>
      <c r="S5" s="20"/>
      <c r="T5" s="20">
        <v>1</v>
      </c>
      <c r="U5" s="20">
        <v>5</v>
      </c>
      <c r="V5" s="20">
        <v>1</v>
      </c>
      <c r="W5" s="20">
        <v>3</v>
      </c>
      <c r="X5" s="20">
        <v>10</v>
      </c>
    </row>
    <row r="6" spans="2:24" x14ac:dyDescent="0.3">
      <c r="B6" t="s">
        <v>132</v>
      </c>
      <c r="C6" s="20">
        <v>25</v>
      </c>
      <c r="E6" t="s">
        <v>124</v>
      </c>
      <c r="F6" s="20">
        <v>30</v>
      </c>
      <c r="G6" s="20">
        <v>12</v>
      </c>
      <c r="H6" s="20">
        <v>42</v>
      </c>
      <c r="J6" t="s">
        <v>2871</v>
      </c>
      <c r="K6" s="20">
        <v>88</v>
      </c>
      <c r="M6" t="s">
        <v>83</v>
      </c>
      <c r="N6" s="20">
        <v>30</v>
      </c>
      <c r="O6" s="20">
        <v>24</v>
      </c>
      <c r="P6" s="20">
        <v>54</v>
      </c>
      <c r="R6" t="s">
        <v>2876</v>
      </c>
      <c r="S6" s="20">
        <v>1</v>
      </c>
      <c r="T6" s="20">
        <v>7</v>
      </c>
      <c r="U6" s="20">
        <v>6</v>
      </c>
      <c r="V6" s="20">
        <v>7</v>
      </c>
      <c r="W6" s="20">
        <v>12</v>
      </c>
      <c r="X6" s="20">
        <v>33</v>
      </c>
    </row>
    <row r="7" spans="2:24" x14ac:dyDescent="0.3">
      <c r="B7" t="s">
        <v>110</v>
      </c>
      <c r="C7" s="20">
        <v>37</v>
      </c>
      <c r="E7" t="s">
        <v>132</v>
      </c>
      <c r="F7" s="20">
        <v>20</v>
      </c>
      <c r="G7" s="20">
        <v>5</v>
      </c>
      <c r="H7" s="20">
        <v>25</v>
      </c>
      <c r="J7" t="s">
        <v>2872</v>
      </c>
      <c r="K7" s="20">
        <v>28</v>
      </c>
      <c r="M7" t="s">
        <v>231</v>
      </c>
      <c r="N7" s="20">
        <v>21</v>
      </c>
      <c r="O7" s="20">
        <v>19</v>
      </c>
      <c r="P7" s="20">
        <v>40</v>
      </c>
      <c r="R7" t="s">
        <v>2877</v>
      </c>
      <c r="S7" s="20">
        <v>6</v>
      </c>
      <c r="T7" s="20">
        <v>17</v>
      </c>
      <c r="U7" s="20">
        <v>12</v>
      </c>
      <c r="V7" s="20">
        <v>10</v>
      </c>
      <c r="W7" s="20">
        <v>15</v>
      </c>
      <c r="X7" s="20">
        <v>60</v>
      </c>
    </row>
    <row r="8" spans="2:24" x14ac:dyDescent="0.3">
      <c r="B8" t="s">
        <v>58</v>
      </c>
      <c r="C8" s="20">
        <v>55</v>
      </c>
      <c r="E8" t="s">
        <v>110</v>
      </c>
      <c r="F8" s="20">
        <v>28</v>
      </c>
      <c r="G8" s="20">
        <v>9</v>
      </c>
      <c r="H8" s="20">
        <v>37</v>
      </c>
      <c r="J8" t="s">
        <v>2865</v>
      </c>
      <c r="K8" s="20">
        <v>322</v>
      </c>
      <c r="M8" t="s">
        <v>244</v>
      </c>
      <c r="N8" s="20">
        <v>38</v>
      </c>
      <c r="O8" s="20">
        <v>35</v>
      </c>
      <c r="P8" s="20">
        <v>73</v>
      </c>
      <c r="R8" t="s">
        <v>2865</v>
      </c>
      <c r="S8" s="20">
        <v>28</v>
      </c>
      <c r="T8" s="20">
        <v>76</v>
      </c>
      <c r="U8" s="20">
        <v>72</v>
      </c>
      <c r="V8" s="20">
        <v>68</v>
      </c>
      <c r="W8" s="20">
        <v>78</v>
      </c>
      <c r="X8" s="20">
        <v>322</v>
      </c>
    </row>
    <row r="9" spans="2:24" x14ac:dyDescent="0.3">
      <c r="B9" t="s">
        <v>69</v>
      </c>
      <c r="C9" s="20">
        <v>75</v>
      </c>
      <c r="E9" t="s">
        <v>58</v>
      </c>
      <c r="F9" s="20">
        <v>41</v>
      </c>
      <c r="G9" s="20">
        <v>14</v>
      </c>
      <c r="H9" s="20">
        <v>55</v>
      </c>
      <c r="M9" t="s">
        <v>101</v>
      </c>
      <c r="N9" s="20">
        <v>20</v>
      </c>
      <c r="O9" s="20">
        <v>25</v>
      </c>
      <c r="P9" s="20">
        <v>45</v>
      </c>
    </row>
    <row r="10" spans="2:24" x14ac:dyDescent="0.3">
      <c r="B10" t="s">
        <v>2865</v>
      </c>
      <c r="C10" s="20">
        <v>322</v>
      </c>
      <c r="E10" t="s">
        <v>69</v>
      </c>
      <c r="F10" s="20">
        <v>48</v>
      </c>
      <c r="G10" s="20">
        <v>27</v>
      </c>
      <c r="H10" s="20">
        <v>75</v>
      </c>
      <c r="M10" t="s">
        <v>2865</v>
      </c>
      <c r="N10" s="20">
        <v>171</v>
      </c>
      <c r="O10" s="20">
        <v>151</v>
      </c>
      <c r="P10" s="20">
        <v>322</v>
      </c>
    </row>
    <row r="11" spans="2:24" x14ac:dyDescent="0.3">
      <c r="E11" t="s">
        <v>2865</v>
      </c>
      <c r="F11" s="20">
        <v>222</v>
      </c>
      <c r="G11" s="20">
        <v>100</v>
      </c>
      <c r="H11" s="20">
        <v>322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C105CD-C4A0-4CAB-8B38-2BD9C5395C3A}">
  <sheetPr>
    <tabColor rgb="FFFFC000"/>
  </sheetPr>
  <dimension ref="A1"/>
  <sheetViews>
    <sheetView workbookViewId="0">
      <selection activeCell="AV3" sqref="AV3"/>
    </sheetView>
  </sheetViews>
  <sheetFormatPr defaultRowHeight="14.4" x14ac:dyDescent="0.3"/>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45460-BD39-4409-982C-421543E78189}">
  <sheetPr>
    <tabColor rgb="FFFFD700"/>
  </sheetPr>
  <dimension ref="A1:AD48"/>
  <sheetViews>
    <sheetView workbookViewId="0">
      <selection activeCell="AG3" sqref="AG3"/>
    </sheetView>
  </sheetViews>
  <sheetFormatPr defaultRowHeight="14.4" x14ac:dyDescent="0.3"/>
  <cols>
    <col min="1" max="16384" width="8.88671875" style="29"/>
  </cols>
  <sheetData>
    <row r="1" spans="1:30" ht="14.4" customHeight="1" x14ac:dyDescent="0.3">
      <c r="A1" s="33" t="s">
        <v>2885</v>
      </c>
      <c r="B1" s="33"/>
      <c r="C1" s="33"/>
      <c r="D1" s="33"/>
      <c r="E1" s="33"/>
      <c r="F1" s="33"/>
      <c r="G1" s="33"/>
      <c r="H1" s="33"/>
      <c r="I1" s="33"/>
      <c r="J1" s="33"/>
      <c r="K1" s="33"/>
      <c r="L1" s="33"/>
      <c r="M1" s="33"/>
      <c r="N1" s="33"/>
      <c r="O1" s="33"/>
      <c r="P1" s="33"/>
      <c r="Q1" s="33"/>
      <c r="R1" s="33"/>
      <c r="S1" s="33"/>
      <c r="T1" s="33"/>
      <c r="U1" s="33"/>
      <c r="V1" s="33"/>
      <c r="W1" s="33"/>
      <c r="X1" s="33"/>
      <c r="Y1" s="33"/>
      <c r="Z1" s="33"/>
      <c r="AA1" s="33"/>
      <c r="AB1" s="33"/>
      <c r="AC1" s="33"/>
      <c r="AD1" s="33"/>
    </row>
    <row r="2" spans="1:30" ht="14.4" customHeight="1" x14ac:dyDescent="0.3">
      <c r="A2" s="33"/>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row>
    <row r="3" spans="1:30" ht="14.4" customHeight="1" x14ac:dyDescent="0.3">
      <c r="A3" s="33"/>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row>
    <row r="4" spans="1:30" x14ac:dyDescent="0.3">
      <c r="A4" s="36" t="s">
        <v>2886</v>
      </c>
      <c r="B4" s="36"/>
      <c r="C4" s="36"/>
      <c r="D4" s="36"/>
      <c r="E4" s="36"/>
      <c r="F4" s="36"/>
      <c r="G4" s="36"/>
      <c r="H4" s="36"/>
      <c r="I4" s="36"/>
      <c r="J4" s="36"/>
      <c r="K4" s="36"/>
      <c r="L4" s="36"/>
      <c r="M4" s="36"/>
      <c r="N4" s="36"/>
      <c r="O4" s="36"/>
      <c r="P4" s="36"/>
      <c r="Q4" s="36"/>
      <c r="R4" s="36"/>
      <c r="S4" s="36"/>
      <c r="T4" s="36"/>
      <c r="U4" s="36"/>
      <c r="V4" s="36"/>
      <c r="W4" s="36"/>
      <c r="X4" s="36"/>
      <c r="Y4" s="36"/>
      <c r="Z4" s="36"/>
      <c r="AA4" s="36"/>
      <c r="AB4" s="36"/>
      <c r="AC4" s="36"/>
      <c r="AD4" s="36"/>
    </row>
    <row r="5" spans="1:30" ht="4.05" customHeight="1" x14ac:dyDescent="0.3">
      <c r="A5" s="35"/>
      <c r="B5" s="35"/>
      <c r="C5" s="35"/>
      <c r="D5" s="35"/>
      <c r="E5" s="35"/>
      <c r="F5" s="35"/>
      <c r="G5" s="35"/>
      <c r="H5" s="35"/>
      <c r="I5" s="35"/>
      <c r="J5" s="35"/>
      <c r="K5" s="35"/>
      <c r="L5" s="35"/>
      <c r="M5" s="35"/>
      <c r="N5" s="35"/>
      <c r="O5" s="35"/>
      <c r="P5" s="35"/>
      <c r="Q5" s="35"/>
      <c r="R5" s="35"/>
      <c r="S5" s="35"/>
      <c r="T5" s="35"/>
      <c r="U5" s="35"/>
      <c r="V5" s="35"/>
      <c r="W5" s="35"/>
      <c r="X5" s="35"/>
      <c r="Y5" s="35"/>
      <c r="Z5" s="35"/>
      <c r="AA5" s="35"/>
      <c r="AB5" s="35"/>
      <c r="AC5" s="35"/>
      <c r="AD5" s="35"/>
    </row>
    <row r="6" spans="1:30" x14ac:dyDescent="0.3">
      <c r="B6" s="65" t="s">
        <v>2887</v>
      </c>
      <c r="C6" s="65"/>
      <c r="D6" s="65"/>
      <c r="E6" s="65"/>
      <c r="G6" s="65" t="s">
        <v>2888</v>
      </c>
      <c r="H6" s="65"/>
      <c r="I6" s="65"/>
      <c r="J6" s="65"/>
      <c r="L6" s="65" t="s">
        <v>2889</v>
      </c>
      <c r="M6" s="65"/>
      <c r="N6" s="65"/>
      <c r="O6" s="65"/>
      <c r="Q6" s="37" t="s">
        <v>2890</v>
      </c>
      <c r="R6" s="37"/>
      <c r="S6" s="37"/>
      <c r="T6" s="37"/>
      <c r="V6" s="37" t="s">
        <v>2891</v>
      </c>
      <c r="W6" s="37"/>
      <c r="X6" s="37"/>
      <c r="Y6" s="37"/>
      <c r="AA6" s="37" t="s">
        <v>2892</v>
      </c>
      <c r="AB6" s="37"/>
      <c r="AC6" s="37"/>
      <c r="AD6" s="37"/>
    </row>
    <row r="7" spans="1:30" x14ac:dyDescent="0.3">
      <c r="B7" s="56" cm="1">
        <f t="array" ref="B7">Total_Employees</f>
        <v>322</v>
      </c>
      <c r="C7" s="57"/>
      <c r="D7" s="57"/>
      <c r="E7" s="58"/>
      <c r="G7" s="66" cm="1">
        <f t="array" ref="G7">Active_Employees</f>
        <v>133</v>
      </c>
      <c r="H7" s="67"/>
      <c r="I7" s="67"/>
      <c r="J7" s="68"/>
      <c r="L7" s="75" t="str" cm="1">
        <f t="array" ref="L7">ROUND(Attrition_Rate,1)&amp;"%"</f>
        <v>31.1%</v>
      </c>
      <c r="M7" s="76"/>
      <c r="N7" s="76"/>
      <c r="O7" s="77"/>
      <c r="Q7" s="56" t="str">
        <f>"₹"&amp;TEXT(HR_SUMMARY!B8,"#,##0")</f>
        <v>₹14,19,754</v>
      </c>
      <c r="R7" s="57"/>
      <c r="S7" s="57"/>
      <c r="T7" s="58"/>
      <c r="V7" s="38" t="str">
        <f ca="1">ROUND(HR_SUMMARY!B7,1)&amp;" Yrs"</f>
        <v>8.1 Yrs</v>
      </c>
      <c r="W7" s="39"/>
      <c r="X7" s="39"/>
      <c r="Y7" s="40"/>
      <c r="AA7" s="47" t="str">
        <f>ROUND(HR_SUMMARY!B6,1)&amp;" Yrs"</f>
        <v>40.1 Yrs</v>
      </c>
      <c r="AB7" s="48"/>
      <c r="AC7" s="48"/>
      <c r="AD7" s="49"/>
    </row>
    <row r="8" spans="1:30" x14ac:dyDescent="0.3">
      <c r="B8" s="59"/>
      <c r="C8" s="60"/>
      <c r="D8" s="60"/>
      <c r="E8" s="61"/>
      <c r="G8" s="69"/>
      <c r="H8" s="70"/>
      <c r="I8" s="70"/>
      <c r="J8" s="71"/>
      <c r="L8" s="78"/>
      <c r="M8" s="79"/>
      <c r="N8" s="79"/>
      <c r="O8" s="80"/>
      <c r="Q8" s="59"/>
      <c r="R8" s="60"/>
      <c r="S8" s="60"/>
      <c r="T8" s="61"/>
      <c r="V8" s="41"/>
      <c r="W8" s="42"/>
      <c r="X8" s="42"/>
      <c r="Y8" s="43"/>
      <c r="AA8" s="50"/>
      <c r="AB8" s="51"/>
      <c r="AC8" s="51"/>
      <c r="AD8" s="52"/>
    </row>
    <row r="9" spans="1:30" x14ac:dyDescent="0.3">
      <c r="B9" s="59"/>
      <c r="C9" s="60"/>
      <c r="D9" s="60"/>
      <c r="E9" s="61"/>
      <c r="G9" s="69"/>
      <c r="H9" s="70"/>
      <c r="I9" s="70"/>
      <c r="J9" s="71"/>
      <c r="L9" s="78"/>
      <c r="M9" s="79"/>
      <c r="N9" s="79"/>
      <c r="O9" s="80"/>
      <c r="Q9" s="59"/>
      <c r="R9" s="60"/>
      <c r="S9" s="60"/>
      <c r="T9" s="61"/>
      <c r="V9" s="41"/>
      <c r="W9" s="42"/>
      <c r="X9" s="42"/>
      <c r="Y9" s="43"/>
      <c r="AA9" s="50"/>
      <c r="AB9" s="51"/>
      <c r="AC9" s="51"/>
      <c r="AD9" s="52"/>
    </row>
    <row r="10" spans="1:30" x14ac:dyDescent="0.3">
      <c r="B10" s="62"/>
      <c r="C10" s="63"/>
      <c r="D10" s="63"/>
      <c r="E10" s="64"/>
      <c r="G10" s="72"/>
      <c r="H10" s="73"/>
      <c r="I10" s="73"/>
      <c r="J10" s="74"/>
      <c r="L10" s="81"/>
      <c r="M10" s="82"/>
      <c r="N10" s="82"/>
      <c r="O10" s="83"/>
      <c r="Q10" s="62"/>
      <c r="R10" s="63"/>
      <c r="S10" s="63"/>
      <c r="T10" s="64"/>
      <c r="V10" s="44"/>
      <c r="W10" s="45"/>
      <c r="X10" s="45"/>
      <c r="Y10" s="46"/>
      <c r="AA10" s="53"/>
      <c r="AB10" s="54"/>
      <c r="AC10" s="54"/>
      <c r="AD10" s="55"/>
    </row>
    <row r="12" spans="1:30" x14ac:dyDescent="0.3">
      <c r="A12" s="35"/>
      <c r="B12" s="35"/>
      <c r="C12" s="35"/>
      <c r="D12" s="35"/>
      <c r="E12" s="35"/>
      <c r="F12" s="35"/>
      <c r="G12" s="35"/>
      <c r="H12" s="35"/>
      <c r="I12" s="35"/>
      <c r="J12" s="35"/>
      <c r="K12" s="35"/>
      <c r="L12" s="35"/>
      <c r="M12" s="35"/>
      <c r="N12" s="35"/>
      <c r="O12" s="35"/>
      <c r="P12" s="35"/>
      <c r="Q12" s="35"/>
      <c r="R12" s="35"/>
      <c r="S12" s="35"/>
      <c r="T12" s="35"/>
      <c r="U12" s="35"/>
      <c r="V12" s="35"/>
      <c r="W12" s="35"/>
      <c r="X12" s="35"/>
      <c r="Y12" s="35"/>
      <c r="Z12" s="35"/>
      <c r="AA12" s="35"/>
      <c r="AB12" s="35"/>
      <c r="AC12" s="35"/>
      <c r="AD12" s="35"/>
    </row>
    <row r="15" spans="1:30" x14ac:dyDescent="0.3">
      <c r="AB15" s="34" t="s">
        <v>2895</v>
      </c>
      <c r="AC15" s="34"/>
      <c r="AD15" s="34"/>
    </row>
    <row r="19" spans="28:30" s="30" customFormat="1" x14ac:dyDescent="0.3"/>
    <row r="21" spans="28:30" x14ac:dyDescent="0.3">
      <c r="AB21" s="34" t="s">
        <v>2894</v>
      </c>
      <c r="AC21" s="34"/>
      <c r="AD21" s="34"/>
    </row>
    <row r="33" spans="28:30" s="30" customFormat="1" x14ac:dyDescent="0.3"/>
    <row r="35" spans="28:30" x14ac:dyDescent="0.3">
      <c r="AB35" s="34" t="s">
        <v>2893</v>
      </c>
      <c r="AC35" s="34"/>
      <c r="AD35" s="34"/>
    </row>
    <row r="48" spans="28:30" s="30" customFormat="1" x14ac:dyDescent="0.3"/>
  </sheetData>
  <mergeCells count="19">
    <mergeCell ref="L7:O10"/>
    <mergeCell ref="L6:O6"/>
    <mergeCell ref="Q7:T10"/>
    <mergeCell ref="A1:AD3"/>
    <mergeCell ref="AB35:AD35"/>
    <mergeCell ref="AB21:AD21"/>
    <mergeCell ref="AB15:AD15"/>
    <mergeCell ref="A12:AD12"/>
    <mergeCell ref="A5:AD5"/>
    <mergeCell ref="A4:AD4"/>
    <mergeCell ref="Q6:T6"/>
    <mergeCell ref="V7:Y10"/>
    <mergeCell ref="V6:Y6"/>
    <mergeCell ref="AA7:AD10"/>
    <mergeCell ref="AA6:AD6"/>
    <mergeCell ref="B7:E10"/>
    <mergeCell ref="B6:E6"/>
    <mergeCell ref="G7:J10"/>
    <mergeCell ref="G6:J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RAW_DATA</vt:lpstr>
      <vt:lpstr>DATA_DICTIONARY</vt:lpstr>
      <vt:lpstr>WORKING_DATA</vt:lpstr>
      <vt:lpstr>HR_SUMMARY</vt:lpstr>
      <vt:lpstr>PIVOT_TABLES</vt:lpstr>
      <vt:lpstr>CHARTS</vt:lpstr>
      <vt:lpstr>HR_DASHBOARD</vt:lpstr>
      <vt:lpstr>Active_Employees</vt:lpstr>
      <vt:lpstr>Attrition_Rate</vt:lpstr>
      <vt:lpstr>Total_Employees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DHAMMADEEP</cp:lastModifiedBy>
  <dcterms:created xsi:type="dcterms:W3CDTF">2026-03-23T02:36:07Z</dcterms:created>
  <dcterms:modified xsi:type="dcterms:W3CDTF">2026-03-23T17:51:54Z</dcterms:modified>
</cp:coreProperties>
</file>